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ffa2624e2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6acb1e512094857"/>
    <x:sheet xmlns:r="http://schemas.openxmlformats.org/officeDocument/2006/relationships" name="Assumptions" sheetId="2" r:id="R5383d26a62a747a5"/>
    <x:sheet xmlns:r="http://schemas.openxmlformats.org/officeDocument/2006/relationships" name="Outputs &gt;&gt;" sheetId="13" r:id="R955c390c9da1417f"/>
    <x:sheet xmlns:r="http://schemas.openxmlformats.org/officeDocument/2006/relationships" name="Exec Sum" sheetId="14" r:id="Rb3e9b08b6416401e"/>
    <x:sheet xmlns:r="http://schemas.openxmlformats.org/officeDocument/2006/relationships" name="Statements &gt;&gt;" sheetId="9" r:id="Rfb44241178df456e"/>
    <x:sheet xmlns:r="http://schemas.openxmlformats.org/officeDocument/2006/relationships" name="IS" sheetId="10" r:id="Rd8c8c484c47a4a5e"/>
    <x:sheet xmlns:r="http://schemas.openxmlformats.org/officeDocument/2006/relationships" name="BS" sheetId="11" r:id="Rfaab4547e7844c38"/>
    <x:sheet xmlns:r="http://schemas.openxmlformats.org/officeDocument/2006/relationships" name="CF" sheetId="12" r:id="R455508e5a927464b"/>
    <x:sheet xmlns:r="http://schemas.openxmlformats.org/officeDocument/2006/relationships" name="Builds &gt;&gt;" sheetId="15" r:id="Rb7d2b760303e43c7"/>
    <x:sheet xmlns:r="http://schemas.openxmlformats.org/officeDocument/2006/relationships" name="Revenue" sheetId="3" r:id="Re13f04161b8f4a0c"/>
    <x:sheet xmlns:r="http://schemas.openxmlformats.org/officeDocument/2006/relationships" name="OpEx" sheetId="5" r:id="Rdbc5ff9cd5f54472"/>
    <x:sheet xmlns:r="http://schemas.openxmlformats.org/officeDocument/2006/relationships" name="HC" sheetId="4" r:id="R2825651790b848e7"/>
    <x:sheet xmlns:r="http://schemas.openxmlformats.org/officeDocument/2006/relationships" name="WC" sheetId="6" r:id="Raac3552bac1349c9"/>
    <x:sheet xmlns:r="http://schemas.openxmlformats.org/officeDocument/2006/relationships" name="FA &amp; D&amp;A" sheetId="7" r:id="Re0f65effc4cb448a"/>
    <x:sheet xmlns:r="http://schemas.openxmlformats.org/officeDocument/2006/relationships" name="Fin, Tax &amp; Equity" sheetId="8" r:id="R68d7e1364ef24213"/>
    <x:sheet xmlns:r="http://schemas.openxmlformats.org/officeDocument/2006/relationships" name="Project Forecast" sheetId="16" r:id="Rbaf552efc11d4341"/>
    <x:sheet xmlns:r="http://schemas.openxmlformats.org/officeDocument/2006/relationships" name="Sources &amp; Audit" sheetId="17" r:id="R3ec2989bf1db4e05"/>
  </x:sheets>
</x:workbook>
</file>

<file path=xl/sharedStrings.xml><?xml version="1.0" encoding="utf-8"?>
<x:sst xmlns:x="http://schemas.openxmlformats.org/spreadsheetml/2006/main">
  <x:si>
    <x:t xml:space="preserve">Scenario</x:t>
  </x:si>
  <x:si>
    <x:t xml:space="preserve">Forecast horizon</x:t>
  </x:si>
  <x:si>
    <x:t xml:space="preserve">Jan–Dec 2027</x:t>
  </x:si>
  <x:si>
    <x:t xml:space="preserve">Units</x:t>
  </x:si>
  <x:si>
    <x:t xml:space="preserve">$000s except customers, FTE, rates, days, and months</x:t>
  </x:si>
  <x:si>
    <x:t xml:space="preserve">Formula profile</x:t>
  </x:si>
  <x:si>
    <x:t xml:space="preserve">finance_standard</x:t>
  </x:si>
  <x:si>
    <x:t xml:space="preserve">Model status</x:t>
  </x:si>
  <x:si>
    <x:t xml:space="preserve">Privacy</x:t>
  </x:si>
  <x:si>
    <x:t xml:space="preserve">Synthetic and generic; no private-model values, labels, customer information, or proprietary formulas.</x:t>
  </x:si>
  <x:si>
    <x:t xml:space="preserve">HOW TO USE</x:t>
  </x:si>
  <x:si>
    <x:t xml:space="preserve">Choose Base, Growth, or Downside on Assumptions.</x:t>
  </x:si>
  <x:si>
    <x:t xml:space="preserve">Edit only pale-yellow assumptions. Forecast formulas and statements update automatically.</x:t>
  </x:si>
  <x:si>
    <x:t xml:space="preserve">Trace revenue from productive salespeople through bookings, cohorts, billings, deferred revenue, and recognized revenue.</x:t>
  </x:si>
  <x:si>
    <x:t xml:space="preserve">Review the three statements and required checks. PASS means the named local controls tie; it does not imply owner acceptance.</x:t>
  </x:si>
  <x:si>
    <x:t xml:space="preserve">Use the management summary for decisions; use schedules for audit and refresh.</x:t>
  </x:si>
  <x:si>
    <x:t xml:space="preserve">Do not add a cash, debt, equity, deferred-revenue, or other balancing plug. Fix the owning schedule if a check fails.</x:t>
  </x:si>
  <x:si>
    <x:t xml:space="preserve">MODEL SPINE</x:t>
  </x:si>
  <x:si>
    <x:t xml:space="preserve">Capacity</x:t>
  </x:si>
  <x:si>
    <x:t xml:space="preserve">Productive reps × productivity</x:t>
  </x:si>
  <x:si>
    <x:t xml:space="preserve">Bookings</x:t>
  </x:si>
  <x:si>
    <x:t xml:space="preserve">New logos × ACV</x:t>
  </x:si>
  <x:si>
    <x:t xml:space="preserve">Cohorts</x:t>
  </x:si>
  <x:si>
    <x:t xml:space="preserve">Retention + expansion + price</x:t>
  </x:si>
  <x:si>
    <x:t xml:space="preserve">Revenue</x:t>
  </x:si>
  <x:si>
    <x:t xml:space="preserve">Subscription + services</x:t>
  </x:si>
  <x:si>
    <x:t xml:space="preserve">Recognized by cohort</x:t>
  </x:si>
  <x:si>
    <x:t xml:space="preserve">Billings</x:t>
  </x:si>
  <x:si>
    <x:t xml:space="preserve">Contracted cash timing</x:t>
  </x:si>
  <x:si>
    <x:t xml:space="preserve">Deferred</x:t>
  </x:si>
  <x:si>
    <x:t xml:space="preserve">Billings less revenue</x:t>
  </x:si>
  <x:si>
    <x:t xml:space="preserve">AR</x:t>
  </x:si>
  <x:si>
    <x:t xml:space="preserve">Revenue × DSO</x:t>
  </x:si>
  <x:si>
    <x:t xml:space="preserve">People</x:t>
  </x:si>
  <x:si>
    <x:t xml:space="preserve">FTE roll-forward</x:t>
  </x:si>
  <x:si>
    <x:t xml:space="preserve">Payroll</x:t>
  </x:si>
  <x:si>
    <x:t xml:space="preserve">Average FTE × compensation</x:t>
  </x:si>
  <x:si>
    <x:t xml:space="preserve">Non-HC</x:t>
  </x:si>
  <x:si>
    <x:t xml:space="preserve">Departmental inputs</x:t>
  </x:si>
  <x:si>
    <x:t xml:space="preserve">EBITDA</x:t>
  </x:si>
  <x:si>
    <x:t xml:space="preserve">Revenue less costs</x:t>
  </x:si>
  <x:si>
    <x:t xml:space="preserve">Assets</x:t>
  </x:si>
  <x:si>
    <x:t xml:space="preserve">Capex and D&amp;A</x:t>
  </x:si>
  <x:si>
    <x:t xml:space="preserve">Liabilities</x:t>
  </x:si>
  <x:si>
    <x:t xml:space="preserve">WC and debt schedules</x:t>
  </x:si>
  <x:si>
    <x:t xml:space="preserve">Equity</x:t>
  </x:si>
  <x:si>
    <x:t xml:space="preserve">Retained earnings</x:t>
  </x:si>
  <x:si>
    <x:t xml:space="preserve">Cash flow</x:t>
  </x:si>
  <x:si>
    <x:t xml:space="preserve">Indirect method</x:t>
  </x:si>
  <x:si>
    <x:t xml:space="preserve">Statements</x:t>
  </x:si>
  <x:si>
    <x:t xml:space="preserve">IS</x:t>
  </x:si>
  <x:si>
    <x:t xml:space="preserve">BS</x:t>
  </x:si>
  <x:si>
    <x:t xml:space="preserve">CF</x:t>
  </x:si>
  <x:si>
    <x:t xml:space="preserve">Controls</x:t>
  </x:si>
  <x:si>
    <x:t xml:space="preserve">Cash + balance ties</x:t>
  </x:si>
  <x:si>
    <x:t xml:space="preserve">Boundary</x:t>
  </x:si>
  <x:si>
    <x:t xml:space="preserve">Local template</x:t>
  </x:si>
  <x:si>
    <x:t xml:space="preserve">Excel</x:t>
  </x:si>
  <x:si>
    <x:t xml:space="preserve">Separate native QA</x:t>
  </x:si>
  <x:si>
    <x:t xml:space="preserve">Sheets</x:t>
  </x:si>
  <x:si>
    <x:t xml:space="preserve">Separate conversion QA</x:t>
  </x:si>
  <x:si>
    <x:t xml:space="preserve">Default</x:t>
  </x:si>
  <x:si>
    <x:t xml:space="preserve">Not approved/published</x:t>
  </x:si>
  <x:si>
    <x:t xml:space="preserve">Forecast Assumptions</x:t>
  </x:si>
  <x:si>
    <x:t xml:space="preserve">Selected scenario</x:t>
  </x:si>
  <x:si>
    <x:t xml:space="preserve">Base</x:t>
  </x:si>
  <x:si>
    <x:t xml:space="preserve">Edit pale-yellow cells only</x:t>
  </x:si>
  <x:si>
    <x:t xml:space="preserve">Driver</x:t>
  </x:si>
  <x:si>
    <x:t xml:space="preserve">Growth</x:t>
  </x:si>
  <x:si>
    <x:t xml:space="preserve">Downside</x:t>
  </x:si>
  <x:si>
    <x:t xml:space="preserve">Selected</x:t>
  </x:si>
  <x:si>
    <x:t xml:space="preserve">Definition / policy</x:t>
  </x:si>
  <x:si>
    <x:t xml:space="preserve">Opening customers</x:t>
  </x:si>
  <x:si>
    <x:t xml:space="preserve">customers</x:t>
  </x:si>
  <x:si>
    <x:t xml:space="preserve">Synthetic opening population</x:t>
  </x:si>
  <x:si>
    <x:t xml:space="preserve">Opening subscription ARR</x:t>
  </x:si>
  <x:si>
    <x:t xml:space="preserve">$000</x:t>
  </x:si>
  <x:si>
    <x:t xml:space="preserve">Annualized recurring revenue</x:t>
  </x:si>
  <x:si>
    <x:t xml:space="preserve">Starting productive salespeople</x:t>
  </x:si>
  <x:si>
    <x:t xml:space="preserve">FTE</x:t>
  </x:si>
  <x:si>
    <x:t xml:space="preserve">Opening productive capacity</x:t>
  </x:si>
  <x:si>
    <x:t xml:space="preserve">Monthly sales hires</x:t>
  </x:si>
  <x:si>
    <x:t xml:space="preserve">New sales hires before ramp</x:t>
  </x:si>
  <x:si>
    <x:t xml:space="preserve">Sales productivity / productive rep / month</x:t>
  </x:si>
  <x:si>
    <x:t xml:space="preserve">$000 bookings</x:t>
  </x:si>
  <x:si>
    <x:t xml:space="preserve">Operational capacity driver</x:t>
  </x:si>
  <x:si>
    <x:t xml:space="preserve">Average contract value (ACV)</x:t>
  </x:si>
  <x:si>
    <x:t xml:space="preserve">Annual contract value per new logo</x:t>
  </x:si>
  <x:si>
    <x:t xml:space="preserve">Implementation lag</x:t>
  </x:si>
  <x:si>
    <x:t xml:space="preserve">months</x:t>
  </x:si>
  <x:si>
    <x:t xml:space="preserve">Months from booking to revenue start</x:t>
  </x:si>
  <x:si>
    <x:t xml:space="preserve">Monthly logo retention</x:t>
  </x:si>
  <x:si>
    <x:t xml:space="preserve">%</x:t>
  </x:si>
  <x:si>
    <x:t xml:space="preserve">Periodic monthly retention</x:t>
  </x:si>
  <x:si>
    <x:t xml:space="preserve">Monthly gross revenue retention</x:t>
  </x:si>
  <x:si>
    <x:t xml:space="preserve">Periodic monthly GRR</x:t>
  </x:si>
  <x:si>
    <x:t xml:space="preserve">Monthly expansion</x:t>
  </x:si>
  <x:si>
    <x:t xml:space="preserve">Periodic monthly expansion</x:t>
  </x:si>
  <x:si>
    <x:t xml:space="preserve">Monthly price increase</x:t>
  </x:si>
  <x:si>
    <x:t xml:space="preserve">Periodic price realization</x:t>
  </x:si>
  <x:si>
    <x:t xml:space="preserve">Services revenue / new logo</x:t>
  </x:si>
  <x:si>
    <x:t xml:space="preserve">Recognized at delivery</x:t>
  </x:si>
  <x:si>
    <x:t xml:space="preserve">Subscription cost of revenue</x:t>
  </x:si>
  <x:si>
    <x:t xml:space="preserve">% revenue</x:t>
  </x:si>
  <x:si>
    <x:t xml:space="preserve">Hosting and support</x:t>
  </x:si>
  <x:si>
    <x:t xml:space="preserve">Services cost of revenue</x:t>
  </x:si>
  <x:si>
    <x:t xml:space="preserve">Implementation delivery</x:t>
  </x:si>
  <x:si>
    <x:t xml:space="preserve">R&amp;D opening FTE</x:t>
  </x:si>
  <x:si>
    <x:t xml:space="preserve">Opening headcount</x:t>
  </x:si>
  <x:si>
    <x:t xml:space="preserve">R&amp;D monthly hires</x:t>
  </x:si>
  <x:si>
    <x:t xml:space="preserve">Hiring plan</x:t>
  </x:si>
  <x:si>
    <x:t xml:space="preserve">Marketing opening FTE</x:t>
  </x:si>
  <x:si>
    <x:t xml:space="preserve">Marketing monthly hires</x:t>
  </x:si>
  <x:si>
    <x:t xml:space="preserve">G&amp;A opening FTE</x:t>
  </x:si>
  <x:si>
    <x:t xml:space="preserve">G&amp;A monthly hires</x:t>
  </x:si>
  <x:si>
    <x:t xml:space="preserve">Customer Success opening FTE</x:t>
  </x:si>
  <x:si>
    <x:t xml:space="preserve">Customer Success monthly hires</x:t>
  </x:si>
  <x:si>
    <x:t xml:space="preserve">Monthly headcount attrition</x:t>
  </x:si>
  <x:si>
    <x:t xml:space="preserve">Periodic attrition</x:t>
  </x:si>
  <x:si>
    <x:t xml:space="preserve">Sales annual salary / FTE</x:t>
  </x:si>
  <x:si>
    <x:t xml:space="preserve">Cash payroll assumption</x:t>
  </x:si>
  <x:si>
    <x:t xml:space="preserve">R&amp;D annual salary / FTE</x:t>
  </x:si>
  <x:si>
    <x:t xml:space="preserve">Marketing annual salary / FTE</x:t>
  </x:si>
  <x:si>
    <x:t xml:space="preserve">G&amp;A annual salary / FTE</x:t>
  </x:si>
  <x:si>
    <x:t xml:space="preserve">Customer Success annual salary / FTE</x:t>
  </x:si>
  <x:si>
    <x:t xml:space="preserve">Monthly non-HC R&amp;D</x:t>
  </x:si>
  <x:si>
    <x:t xml:space="preserve">Software, labs, contractors</x:t>
  </x:si>
  <x:si>
    <x:t xml:space="preserve">Monthly non-HC Marketing</x:t>
  </x:si>
  <x:si>
    <x:t xml:space="preserve">Programs and acquisition</x:t>
  </x:si>
  <x:si>
    <x:t xml:space="preserve">Monthly non-HC G&amp;A</x:t>
  </x:si>
  <x:si>
    <x:t xml:space="preserve">Corporate operations</x:t>
  </x:si>
  <x:si>
    <x:t xml:space="preserve">Monthly non-HC Customer Success</x:t>
  </x:si>
  <x:si>
    <x:t xml:space="preserve">Customer programs</x:t>
  </x:si>
  <x:si>
    <x:t xml:space="preserve">Days sales outstanding</x:t>
  </x:si>
  <x:si>
    <x:t xml:space="preserve">days</x:t>
  </x:si>
  <x:si>
    <x:t xml:space="preserve">AR timing</x:t>
  </x:si>
  <x:si>
    <x:t xml:space="preserve">Days payable outstanding</x:t>
  </x:si>
  <x:si>
    <x:t xml:space="preserve">AP timing</x:t>
  </x:si>
  <x:si>
    <x:t xml:space="preserve">Accrued expense % of OpEx</x:t>
  </x:si>
  <x:si>
    <x:t xml:space="preserve">Accrued payroll and OpEx</x:t>
  </x:si>
  <x:si>
    <x:t xml:space="preserve">Prepaid % of non-HC OpEx</x:t>
  </x:si>
  <x:si>
    <x:t xml:space="preserve">Prepaid operating assets</x:t>
  </x:si>
  <x:si>
    <x:t xml:space="preserve">Monthly capex</x:t>
  </x:si>
  <x:si>
    <x:t xml:space="preserve">Placed in service in month</x:t>
  </x:si>
  <x:si>
    <x:t xml:space="preserve">Useful life</x:t>
  </x:si>
  <x:si>
    <x:t xml:space="preserve">Straight-line D&amp;A</x:t>
  </x:si>
  <x:si>
    <x:t xml:space="preserve">Monthly debt repayment</x:t>
  </x:si>
  <x:si>
    <x:t xml:space="preserve">Explicit financing action</x:t>
  </x:si>
  <x:si>
    <x:t xml:space="preserve">Annual interest rate</x:t>
  </x:si>
  <x:si>
    <x:t xml:space="preserve">Average debt balance</x:t>
  </x:si>
  <x:si>
    <x:t xml:space="preserve">Cash tax rate</x:t>
  </x:si>
  <x:si>
    <x:t xml:space="preserve">No deferred-tax complexity</x:t>
  </x:si>
  <x:si>
    <x:t xml:space="preserve">Monthly equity raise</x:t>
  </x:si>
  <x:si>
    <x:t xml:space="preserve">Explicit only; no auto-plug</x:t>
  </x:si>
  <x:si>
    <x:t xml:space="preserve">Monthly dividends</x:t>
  </x:si>
  <x:si>
    <x:t xml:space="preserve">Explicit only</x:t>
  </x:si>
  <x:si>
    <x:t xml:space="preserve">Opening cash</x:t>
  </x:si>
  <x:si>
    <x:t xml:space="preserve">Balanced opening balance sheet</x:t>
  </x:si>
  <x:si>
    <x:t xml:space="preserve">Opening accounts receivable</x:t>
  </x:si>
  <x:si>
    <x:t xml:space="preserve">Opening prepaid expenses</x:t>
  </x:si>
  <x:si>
    <x:t xml:space="preserve">Opening gross PP&amp;E</x:t>
  </x:si>
  <x:si>
    <x:t xml:space="preserve">Opening accumulated D&amp;A</x:t>
  </x:si>
  <x:si>
    <x:t xml:space="preserve">Contra-asset</x:t>
  </x:si>
  <x:si>
    <x:t xml:space="preserve">Opening accounts payable</x:t>
  </x:si>
  <x:si>
    <x:t xml:space="preserve">Opening accrued expenses</x:t>
  </x:si>
  <x:si>
    <x:t xml:space="preserve">Opening deferred revenue</x:t>
  </x:si>
  <x:si>
    <x:t xml:space="preserve">Opening debt</x:t>
  </x:si>
  <x:si>
    <x:t xml:space="preserve">Opening common equity</x:t>
  </x:si>
  <x:si>
    <x:t xml:space="preserve">Opening retained earnings</x:t>
  </x:si>
  <x:si>
    <x:t xml:space="preserve">Balances opening assets and claims</x:t>
  </x:si>
  <x:si>
    <x:t xml:space="preserve">OPENING BALANCE CONTROL</x:t>
  </x:si>
  <x:si>
    <x:t xml:space="preserve">Opening assets less liabilities and equity</x:t>
  </x:si>
  <x:si>
    <x:t xml:space="preserve">Must equal zero before forecast</x:t>
  </x:si>
  <x:si>
    <x:t xml:space="preserve">Model Outputs</x:t>
  </x:si>
  <x:si>
    <x:t xml:space="preserve">Exec Sum</x:t>
  </x:si>
  <x:si>
    <x:t xml:space="preserve">Executive Summary, Checks, and Management Outputs</x:t>
  </x:si>
  <x:si>
    <x:t xml:space="preserve">Executive Summary</x:t>
  </x:si>
  <x:si>
    <x:t xml:space="preserve">MODEL STATUS</x:t>
  </x:si>
  <x:si>
    <x:t xml:space="preserve">2027 revenue</x:t>
  </x:si>
  <x:si>
    <x:t xml:space="preserve">2027 EBITDA</x:t>
  </x:si>
  <x:si>
    <x:t xml:space="preserve">December ending cash</x:t>
  </x:si>
  <x:si>
    <x:t xml:space="preserve">December ending customers</x:t>
  </x:si>
  <x:si>
    <x:t xml:space="preserve">December ending FTE</x:t>
  </x:si>
  <x:si>
    <x:t xml:space="preserve">Check</x:t>
  </x:si>
  <x:si>
    <x:t xml:space="preserve">Status</x:t>
  </x:si>
  <x:si>
    <x:t xml:space="preserve">Balance sheet balance</x:t>
  </x:si>
  <x:si>
    <x:t xml:space="preserve">Cash flow ending cash = balance-sheet cash</x:t>
  </x:si>
  <x:si>
    <x:t xml:space="preserve">Net income links to retained earnings</x:t>
  </x:si>
  <x:si>
    <x:t xml:space="preserve">Working-capital cash impact reconciles</x:t>
  </x:si>
  <x:si>
    <x:t xml:space="preserve">Fixed assets, capex, and D&amp;A reconcile</x:t>
  </x:si>
  <x:si>
    <x:t xml:space="preserve">Deferred revenue roll-forward reconciles</x:t>
  </x:si>
  <x:si>
    <x:t xml:space="preserve">No unexplained balancing plug</x:t>
  </x:si>
  <x:si>
    <x:t xml:space="preserve">Month</x:t>
  </x:si>
  <x:si>
    <x:t xml:space="preserve">Ending cash</x:t>
  </x:si>
  <x:si>
    <x:t xml:space="preserve">Jan-27</x:t>
  </x:si>
  <x:si>
    <x:t xml:space="preserve">Feb-27</x:t>
  </x:si>
  <x:si>
    <x:t xml:space="preserve">Mar-27</x:t>
  </x:si>
  <x:si>
    <x:t xml:space="preserve">Apr-27</x:t>
  </x:si>
  <x:si>
    <x:t xml:space="preserve">May-27</x:t>
  </x:si>
  <x:si>
    <x:t xml:space="preserve">Jun-27</x:t>
  </x:si>
  <x:si>
    <x:t xml:space="preserve">Jul-27</x:t>
  </x:si>
  <x:si>
    <x:t xml:space="preserve">Aug-27</x:t>
  </x:si>
  <x:si>
    <x:t xml:space="preserve">Sep-27</x:t>
  </x:si>
  <x:si>
    <x:t xml:space="preserve">Oct-27</x:t>
  </x:si>
  <x:si>
    <x:t xml:space="preserve">Nov-27</x:t>
  </x:si>
  <x:si>
    <x:t xml:space="preserve">Dec-27</x:t>
  </x:si>
  <x:si>
    <x:t xml:space="preserve">Three Financial Statements</x:t>
  </x:si>
  <x:si>
    <x:t xml:space="preserve">Income Statement</x:t>
  </x:si>
  <x:si>
    <x:t xml:space="preserve">Balance Sheet</x:t>
  </x:si>
  <x:si>
    <x:t xml:space="preserve">Cash Flow Statement</x:t>
  </x:si>
  <x:si>
    <x:t xml:space="preserve">Recognized subscription and services revenue through net income; all statement lines link to owned schedules.</x:t>
  </x:si>
  <x:si>
    <x:t xml:space="preserve">$000s except customers, FTE, and rates</x:t>
  </x:si>
  <x:si>
    <x:t xml:space="preserve">Subscription revenue</x:t>
  </x:si>
  <x:si>
    <x:t xml:space="preserve">Services revenue</x:t>
  </x:si>
  <x:si>
    <x:t xml:space="preserve">Total revenue</x:t>
  </x:si>
  <x:si>
    <x:t xml:space="preserve">Total cost of revenue</x:t>
  </x:si>
  <x:si>
    <x:t xml:space="preserve">Gross profit</x:t>
  </x:si>
  <x:si>
    <x:t xml:space="preserve">Gross margin</x:t>
  </x:si>
  <x:si>
    <x:t xml:space="preserve">Non-headcount operating expense</x:t>
  </x:si>
  <x:si>
    <x:t xml:space="preserve">Total operating expense</x:t>
  </x:si>
  <x:si>
    <x:t xml:space="preserve">EBITDA margin</x:t>
  </x:si>
  <x:si>
    <x:t xml:space="preserve">Depreciation &amp; amortization</x:t>
  </x:si>
  <x:si>
    <x:t xml:space="preserve">EBIT</x:t>
  </x:si>
  <x:si>
    <x:t xml:space="preserve">Interest expense</x:t>
  </x:si>
  <x:si>
    <x:t xml:space="preserve">Earnings before tax</x:t>
  </x:si>
  <x:si>
    <x:t xml:space="preserve">Cash taxes</x:t>
  </x:si>
  <x:si>
    <x:t xml:space="preserve">Net income</x:t>
  </x:si>
  <x:si>
    <x:t xml:space="preserve">Cash links from the cash flow statement; noncash accounts, debt, common equity, and retained earnings link from owned schedules.</x:t>
  </x:si>
  <x:si>
    <x:t xml:space="preserve">ASSETS</x:t>
  </x:si>
  <x:si>
    <x:t xml:space="preserve">Cash</x:t>
  </x:si>
  <x:si>
    <x:t xml:space="preserve">Accounts receivable</x:t>
  </x:si>
  <x:si>
    <x:t xml:space="preserve">Prepaid expenses</x:t>
  </x:si>
  <x:si>
    <x:t xml:space="preserve">Net PP&amp;E</x:t>
  </x:si>
  <x:si>
    <x:t xml:space="preserve">Other assets</x:t>
  </x:si>
  <x:si>
    <x:t xml:space="preserve">Total assets</x:t>
  </x:si>
  <x:si>
    <x:t xml:space="preserve">LIABILITIES</x:t>
  </x:si>
  <x:si>
    <x:t xml:space="preserve">Accounts payable</x:t>
  </x:si>
  <x:si>
    <x:t xml:space="preserve">Accrued expenses</x:t>
  </x:si>
  <x:si>
    <x:t xml:space="preserve">Deferred revenue</x:t>
  </x:si>
  <x:si>
    <x:t xml:space="preserve">Debt</x:t>
  </x:si>
  <x:si>
    <x:t xml:space="preserve">Other liabilities</x:t>
  </x:si>
  <x:si>
    <x:t xml:space="preserve">Total liabilities</x:t>
  </x:si>
  <x:si>
    <x:t xml:space="preserve">EQUITY</x:t>
  </x:si>
  <x:si>
    <x:t xml:space="preserve">Common equity</x:t>
  </x:si>
  <x:si>
    <x:t xml:space="preserve">Other comprehensive income</x:t>
  </x:si>
  <x:si>
    <x:t xml:space="preserve">Total equity</x:t>
  </x:si>
  <x:si>
    <x:t xml:space="preserve">Total liabilities and equity</x:t>
  </x:si>
  <x:si>
    <x:t xml:space="preserve">BALANCE CHECK</x:t>
  </x:si>
  <x:si>
    <x:t xml:space="preserve">Assets less liabilities and equity</x:t>
  </x:si>
  <x:si>
    <x:t xml:space="preserve">Indirect cash flow from net income through operating, investing, and financing activities; ending cash links directly to the balance sheet.</x:t>
  </x:si>
  <x:si>
    <x:t xml:space="preserve">CASH FROM OPERATING ACTIVITIES</x:t>
  </x:si>
  <x:si>
    <x:t xml:space="preserve">D&amp;A</x:t>
  </x:si>
  <x:si>
    <x:t xml:space="preserve">Less: increase in AR</x:t>
  </x:si>
  <x:si>
    <x:t xml:space="preserve">Less: increase in prepaids</x:t>
  </x:si>
  <x:si>
    <x:t xml:space="preserve">Plus: increase in AP</x:t>
  </x:si>
  <x:si>
    <x:t xml:space="preserve">Plus: increase in accrued expenses</x:t>
  </x:si>
  <x:si>
    <x:t xml:space="preserve">Plus: increase in deferred revenue</x:t>
  </x:si>
  <x:si>
    <x:t xml:space="preserve">Cash from operating activities</x:t>
  </x:si>
  <x:si>
    <x:t xml:space="preserve">Working-capital cash impact</x:t>
  </x:si>
  <x:si>
    <x:t xml:space="preserve">CFO reconciliation delta</x:t>
  </x:si>
  <x:si>
    <x:t xml:space="preserve">CASH FROM INVESTING ACTIVITIES</x:t>
  </x:si>
  <x:si>
    <x:t xml:space="preserve">Capital expenditures</x:t>
  </x:si>
  <x:si>
    <x:t xml:space="preserve">Cash from investing activities</x:t>
  </x:si>
  <x:si>
    <x:t xml:space="preserve">CASH FROM FINANCING ACTIVITIES</x:t>
  </x:si>
  <x:si>
    <x:t xml:space="preserve">Borrowings</x:t>
  </x:si>
  <x:si>
    <x:t xml:space="preserve">Debt repayments</x:t>
  </x:si>
  <x:si>
    <x:t xml:space="preserve">Equity raise</x:t>
  </x:si>
  <x:si>
    <x:t xml:space="preserve">Dividends</x:t>
  </x:si>
  <x:si>
    <x:t xml:space="preserve">Cash from financing activities</x:t>
  </x:si>
  <x:si>
    <x:t xml:space="preserve">CASH ROLL-FORWARD</x:t>
  </x:si>
  <x:si>
    <x:t xml:space="preserve">Net change in cash</x:t>
  </x:si>
  <x:si>
    <x:t xml:space="preserve">Beginning cash</x:t>
  </x:si>
  <x:si>
    <x:t xml:space="preserve">Cash roll-forward check</x:t>
  </x:si>
  <x:si>
    <x:t xml:space="preserve">Revenue and Bookings Build</x:t>
  </x:si>
  <x:si>
    <x:t xml:space="preserve">Productive salespeople → bookings and logos → implementation lag → cohorts → billings and deferred revenue → recognized revenue.</x:t>
  </x:si>
  <x:si>
    <x:t xml:space="preserve">SALES CAPACITY AND BOOKINGS</x:t>
  </x:si>
  <x:si>
    <x:t xml:space="preserve">Productive salespeople</x:t>
  </x:si>
  <x:si>
    <x:t xml:space="preserve">Productivity / rep / month</x:t>
  </x:si>
  <x:si>
    <x:t xml:space="preserve">New bookings</x:t>
  </x:si>
  <x:si>
    <x:t xml:space="preserve">Average contract value</x:t>
  </x:si>
  <x:si>
    <x:t xml:space="preserve">New logos</x:t>
  </x:si>
  <x:si>
    <x:t xml:space="preserve">CUSTOMER ROLL-FORWARD</x:t>
  </x:si>
  <x:si>
    <x:t xml:space="preserve">Beginning customers</x:t>
  </x:si>
  <x:si>
    <x:t xml:space="preserve">Churned customers</x:t>
  </x:si>
  <x:si>
    <x:t xml:space="preserve">Ending customers</x:t>
  </x:si>
  <x:si>
    <x:t xml:space="preserve">COHORT REVENUE DRIVERS</x:t>
  </x:si>
  <x:si>
    <x:t xml:space="preserve">Opening-customer subscription revenue</x:t>
  </x:si>
  <x:si>
    <x:t xml:space="preserve">Acquisition cohort</x:t>
  </x:si>
  <x:si>
    <x:t xml:space="preserve">New-cohort subscription revenue</x:t>
  </x:si>
  <x:si>
    <x:t xml:space="preserve">Total subscription revenue</x:t>
  </x:si>
  <x:si>
    <x:t xml:space="preserve">Total recognized revenue</x:t>
  </x:si>
  <x:si>
    <x:t xml:space="preserve">BILLINGS AND DEFERRED REVENUE</x:t>
  </x:si>
  <x:si>
    <x:t xml:space="preserve">Existing-customer subscription billings</x:t>
  </x:si>
  <x:si>
    <x:t xml:space="preserve">New subscription bookings billed</x:t>
  </x:si>
  <x:si>
    <x:t xml:space="preserve">Services billings</x:t>
  </x:si>
  <x:si>
    <x:t xml:space="preserve">Total billings</x:t>
  </x:si>
  <x:si>
    <x:t xml:space="preserve">Beginning deferred revenue</x:t>
  </x:si>
  <x:si>
    <x:t xml:space="preserve">+ Billings</x:t>
  </x:si>
  <x:si>
    <x:t xml:space="preserve">− Recognized revenue</x:t>
  </x:si>
  <x:si>
    <x:t xml:space="preserve">Ending deferred revenue</x:t>
  </x:si>
  <x:si>
    <x:t xml:space="preserve">Deferred-revenue change</x:t>
  </x:si>
  <x:si>
    <x:t xml:space="preserve">Operating Expense Build</x:t>
  </x:si>
  <x:si>
    <x:t xml:space="preserve">Recognized revenue drives cost of revenue; headcount-linked payroll remains separate from non-headcount departmental expense.</x:t>
  </x:si>
  <x:si>
    <x:t xml:space="preserve">REVENUE AND COST OF REVENUE</x:t>
  </x:si>
  <x:si>
    <x:t xml:space="preserve">Subscription cost %</x:t>
  </x:si>
  <x:si>
    <x:t xml:space="preserve">Services cost %</x:t>
  </x:si>
  <x:si>
    <x:t xml:space="preserve">HEADCOUNT-DRIVEN PAYROLL</x:t>
  </x:si>
  <x:si>
    <x:t xml:space="preserve">Sales payroll</x:t>
  </x:si>
  <x:si>
    <x:t xml:space="preserve">R&amp;D payroll</x:t>
  </x:si>
  <x:si>
    <x:t xml:space="preserve">Marketing payroll</x:t>
  </x:si>
  <x:si>
    <x:t xml:space="preserve">G&amp;A payroll</x:t>
  </x:si>
  <x:si>
    <x:t xml:space="preserve">Customer Success payroll</x:t>
  </x:si>
  <x:si>
    <x:t xml:space="preserve">Total payroll</x:t>
  </x:si>
  <x:si>
    <x:t xml:space="preserve">NON-HEADCOUNT DEPARTMENTAL EXPENSES</x:t>
  </x:si>
  <x:si>
    <x:t xml:space="preserve">R&amp;D non-headcount</x:t>
  </x:si>
  <x:si>
    <x:t xml:space="preserve">Marketing non-headcount</x:t>
  </x:si>
  <x:si>
    <x:t xml:space="preserve">G&amp;A non-headcount</x:t>
  </x:si>
  <x:si>
    <x:t xml:space="preserve">Customer Success non-headcount</x:t>
  </x:si>
  <x:si>
    <x:t xml:space="preserve">Total non-headcount</x:t>
  </x:si>
  <x:si>
    <x:t xml:space="preserve">OPERATING OUTLOOK</x:t>
  </x:si>
  <x:si>
    <x:t xml:space="preserve">Headcount Build</x:t>
  </x:si>
  <x:si>
    <x:t xml:space="preserve">Beginning FTE + hires − attrition = ending FTE; payroll uses average FTE. Sales capacity follows a four-month ramp.</x:t>
  </x:si>
  <x:si>
    <x:t xml:space="preserve">SALES</x:t>
  </x:si>
  <x:si>
    <x:t xml:space="preserve">Beginning FTE</x:t>
  </x:si>
  <x:si>
    <x:t xml:space="preserve">Hires</x:t>
  </x:si>
  <x:si>
    <x:t xml:space="preserve">Attrition</x:t>
  </x:si>
  <x:si>
    <x:t xml:space="preserve">Ending FTE</x:t>
  </x:si>
  <x:si>
    <x:t xml:space="preserve">Annual salary / FTE</x:t>
  </x:si>
  <x:si>
    <x:t xml:space="preserve">R&amp;D</x:t>
  </x:si>
  <x:si>
    <x:t xml:space="preserve">MARKETING</x:t>
  </x:si>
  <x:si>
    <x:t xml:space="preserve">G&amp;A</x:t>
  </x:si>
  <x:si>
    <x:t xml:space="preserve">CUSTOMER SUCCESS</x:t>
  </x:si>
  <x:si>
    <x:t xml:space="preserve">TOTAL COMPANY</x:t>
  </x:si>
  <x:si>
    <x:t xml:space="preserve">PRODUCTIVE SALESPEOPLE — FOUR-MONTH RAMP</x:t>
  </x:si>
  <x:si>
    <x:t xml:space="preserve">Opening productive cohort</x:t>
  </x:si>
  <x:si>
    <x:t xml:space="preserve">Jan hire cohort</x:t>
  </x:si>
  <x:si>
    <x:t xml:space="preserve">Feb hire cohort</x:t>
  </x:si>
  <x:si>
    <x:t xml:space="preserve">Mar hire cohort</x:t>
  </x:si>
  <x:si>
    <x:t xml:space="preserve">Apr hire cohort</x:t>
  </x:si>
  <x:si>
    <x:t xml:space="preserve">May hire cohort</x:t>
  </x:si>
  <x:si>
    <x:t xml:space="preserve">Jun hire cohort</x:t>
  </x:si>
  <x:si>
    <x:t xml:space="preserve">Jul hire cohort</x:t>
  </x:si>
  <x:si>
    <x:t xml:space="preserve">Aug hire cohort</x:t>
  </x:si>
  <x:si>
    <x:t xml:space="preserve">Sep hire cohort</x:t>
  </x:si>
  <x:si>
    <x:t xml:space="preserve">Oct hire cohort</x:t>
  </x:si>
  <x:si>
    <x:t xml:space="preserve">Nov hire cohort</x:t>
  </x:si>
  <x:si>
    <x:t xml:space="preserve">Dec hire cohort</x:t>
  </x:si>
  <x:si>
    <x:t xml:space="preserve">Total productive salespeople</x:t>
  </x:si>
  <x:si>
    <x:t xml:space="preserve">Working Capital Build</x:t>
  </x:si>
  <x:si>
    <x:t xml:space="preserve">Accounts receivable, accounts payable, prepaids, accruals, and deferred revenue are forecast from explicit operating drivers.</x:t>
  </x:si>
  <x:si>
    <x:t xml:space="preserve">ACCOUNTS RECEIVABLE</x:t>
  </x:si>
  <x:si>
    <x:t xml:space="preserve">Ending AR</x:t>
  </x:si>
  <x:si>
    <x:t xml:space="preserve">Change in AR</x:t>
  </x:si>
  <x:si>
    <x:t xml:space="preserve">ACCOUNTS PAYABLE</x:t>
  </x:si>
  <x:si>
    <x:t xml:space="preserve">Cost of revenue</x:t>
  </x:si>
  <x:si>
    <x:t xml:space="preserve">Ending AP</x:t>
  </x:si>
  <x:si>
    <x:t xml:space="preserve">Change in AP</x:t>
  </x:si>
  <x:si>
    <x:t xml:space="preserve">PREPAID EXPENSES</x:t>
  </x:si>
  <x:si>
    <x:t xml:space="preserve">Non-headcount OpEx</x:t>
  </x:si>
  <x:si>
    <x:t xml:space="preserve">Prepaid %</x:t>
  </x:si>
  <x:si>
    <x:t xml:space="preserve">Ending prepaids</x:t>
  </x:si>
  <x:si>
    <x:t xml:space="preserve">Change in prepaids</x:t>
  </x:si>
  <x:si>
    <x:t xml:space="preserve">ACCRUED EXPENSES</x:t>
  </x:si>
  <x:si>
    <x:t xml:space="preserve">Accrued %</x:t>
  </x:si>
  <x:si>
    <x:t xml:space="preserve">Ending accrued expenses</x:t>
  </x:si>
  <x:si>
    <x:t xml:space="preserve">Change in accrued expenses</x:t>
  </x:si>
  <x:si>
    <x:t xml:space="preserve">DEFERRED REVENUE</x:t>
  </x:si>
  <x:si>
    <x:t xml:space="preserve">Recognized revenue</x:t>
  </x:si>
  <x:si>
    <x:t xml:space="preserve">Change in deferred revenue</x:t>
  </x:si>
  <x:si>
    <x:t xml:space="preserve">NET WORKING CAPITAL AND CASH IMPACT</x:t>
  </x:si>
  <x:si>
    <x:t xml:space="preserve">Net working capital</x:t>
  </x:si>
  <x:si>
    <x:t xml:space="preserve">Change in net working capital</x:t>
  </x:si>
  <x:si>
    <x:t xml:space="preserve">Cash impact of working-capital movements</x:t>
  </x:si>
  <x:si>
    <x:t xml:space="preserve">Fixed Assets, Depreciation, and Amortization Build</x:t>
  </x:si>
  <x:si>
    <x:t xml:space="preserve">Straight-line depreciation with explicit gross PP&amp;E, accumulated D&amp;A, capex, and net PP&amp;E roll-forwards.</x:t>
  </x:si>
  <x:si>
    <x:t xml:space="preserve">GROSS PP&amp;E</x:t>
  </x:si>
  <x:si>
    <x:t xml:space="preserve">Beginning gross PP&amp;E</x:t>
  </x:si>
  <x:si>
    <x:t xml:space="preserve">Capex</x:t>
  </x:si>
  <x:si>
    <x:t xml:space="preserve">Disposals</x:t>
  </x:si>
  <x:si>
    <x:t xml:space="preserve">Ending gross PP&amp;E</x:t>
  </x:si>
  <x:si>
    <x:t xml:space="preserve">ACCUMULATED D&amp;A</x:t>
  </x:si>
  <x:si>
    <x:t xml:space="preserve">Beginning accumulated D&amp;A</x:t>
  </x:si>
  <x:si>
    <x:t xml:space="preserve">Depreciation</x:t>
  </x:si>
  <x:si>
    <x:t xml:space="preserve">Ending accumulated D&amp;A</x:t>
  </x:si>
  <x:si>
    <x:t xml:space="preserve">Ending net PP&amp;E</x:t>
  </x:si>
  <x:si>
    <x:t xml:space="preserve">ROLL-FORWARD CHECK</x:t>
  </x:si>
  <x:si>
    <x:t xml:space="preserve">Beginning net PP&amp;E</x:t>
  </x:si>
  <x:si>
    <x:t xml:space="preserve">Beginning net PP&amp;E + capex − D&amp;A</x:t>
  </x:si>
  <x:si>
    <x:t xml:space="preserve">PP&amp;E reconciliation delta</x:t>
  </x:si>
  <x:si>
    <x:t xml:space="preserve">Financing, Taxes, and Equity Build</x:t>
  </x:si>
  <x:si>
    <x:t xml:space="preserve">Debt, interest, taxes, common equity, dividends, and retained earnings are explicit schedules—never residual balancing plugs.</x:t>
  </x:si>
  <x:si>
    <x:t xml:space="preserve">DEBT AND INTEREST</x:t>
  </x:si>
  <x:si>
    <x:t xml:space="preserve">Beginning debt</x:t>
  </x:si>
  <x:si>
    <x:t xml:space="preserve">Repayments</x:t>
  </x:si>
  <x:si>
    <x:t xml:space="preserve">Ending debt</x:t>
  </x:si>
  <x:si>
    <x:t xml:space="preserve">Debt roll-forward check</x:t>
  </x:si>
  <x:si>
    <x:t xml:space="preserve">TAXES</x:t>
  </x:si>
  <x:si>
    <x:t xml:space="preserve">COMMON EQUITY</x:t>
  </x:si>
  <x:si>
    <x:t xml:space="preserve">Beginning common equity</x:t>
  </x:si>
  <x:si>
    <x:t xml:space="preserve">Ending common equity</x:t>
  </x:si>
  <x:si>
    <x:t xml:space="preserve">Common equity roll-forward check</x:t>
  </x:si>
  <x:si>
    <x:t xml:space="preserve">RETAINED EARNINGS</x:t>
  </x:si>
  <x:si>
    <x:t xml:space="preserve">Beginning retained earnings</x:t>
  </x:si>
  <x:si>
    <x:t xml:space="preserve">Other adjustments</x:t>
  </x:si>
  <x:si>
    <x:t xml:space="preserve">Ending retained earnings</x:t>
  </x:si>
  <x:si>
    <x:t xml:space="preserve">Retained earnings roll-forward check</x:t>
  </x:si>
</x:sst>
</file>

<file path=xl/styles.xml><?xml version="1.0" encoding="utf-8"?>
<x:styleSheet xmlns:x="http://schemas.openxmlformats.org/spreadsheetml/2006/main">
  <x:numFmts count="8">
    <x:numFmt numFmtId="164" formatCode="#,##0;[Red]\(#,##0\);\-"/>
    <x:numFmt numFmtId="165" formatCode="\$#,##0;[Red]\(\$#,##0\);\-"/>
    <x:numFmt numFmtId="166" formatCode="#,##0.0;[Red]\(#,##0.0\);\-"/>
    <x:numFmt numFmtId="167" formatCode="0.0%;[Red]\(0.0%\);\-"/>
    <x:numFmt numFmtId="168" formatCode="\$#,##0.0;[Red]\(\$#,##0.0\);\-"/>
    <x:numFmt numFmtId="169" formatCode="0.0"/>
    <x:numFmt numFmtId="200" formatCode="#,##0.000"/>
    <x:numFmt numFmtId="201" formatCode="0.0%"/>
  </x:numFmts>
  <x:fonts count="29">
    <x:font>
      <x:sz val="11"/>
      <x:color rgb="FF000000"/>
      <x:name val="Aptos Narrow"/>
    </x:font>
    <x:font>
      <x:b/>
      <x:sz val="14"/>
      <x:color rgb="FFFFFFFF"/>
      <x:name val="Arial"/>
    </x:font>
    <x:font>
      <x:sz val="11"/>
      <x:name val="Aptos Narrow"/>
    </x:font>
    <x:font>
      <x:i/>
      <x:sz val="10"/>
      <x:color rgb="FF5B6570"/>
      <x:name val="Arial"/>
    </x:font>
    <x:font>
      <x:sz val="11"/>
      <x:color theme="1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b/>
      <x:sz val="10"/>
      <x:color rgb="FFFFFFFF"/>
      <x:name val="Arial"/>
    </x:font>
    <x:font>
      <x:b/>
      <x:sz val="11"/>
      <x:color rgb="FF1F5458"/>
      <x:name val="Arial"/>
    </x:font>
    <x:font>
      <x:b/>
      <x:sz val="9"/>
      <x:color rgb="FF17212B"/>
      <x:name val="Arial"/>
    </x:font>
    <x:font>
      <x:sz val="9"/>
      <x:color rgb="FF0000FF"/>
      <x:name val="Arial"/>
    </x:font>
    <x:font>
      <x:b/>
      <x:sz val="9"/>
      <x:color rgb="FF000000"/>
      <x:name val="Arial"/>
    </x:font>
    <x:font>
      <x:sz val="11"/>
      <x:color rgb="FF000000"/>
      <x:name val="Arial"/>
    </x:font>
    <x:font>
      <x:sz val="9"/>
      <x:color rgb="FF008000"/>
      <x:name val="Arial"/>
    </x:font>
    <x:font>
      <x:sz val="9"/>
      <x:color rgb="FF000000"/>
      <x:name val="Arial"/>
    </x:font>
    <x:font>
      <x:b/>
      <x:sz val="9"/>
      <x:color rgb="FF008000"/>
      <x:name val="Arial"/>
    </x:font>
    <x:font>
      <x:sz val="10"/>
      <x:color rgb="FFFFFFFF"/>
      <x:name val="Arial"/>
    </x:font>
    <x:font>
      <x:b/>
      <x:i/>
      <x:sz val="10"/>
      <x:color rgb="FFFFFFFF"/>
      <x:name val="Arial"/>
    </x:font>
    <x:font>
      <x:i/>
      <x:sz val="9"/>
      <x:color rgb="FFFFFFFF"/>
      <x:name val="Arial"/>
    </x:font>
    <x:font>
      <x:i/>
      <x:sz val="9"/>
      <x:color rgb="FF17212B"/>
      <x:name val="Arial"/>
    </x:font>
    <x:font>
      <x:i/>
      <x:sz val="9"/>
      <x:color rgb="FF000000"/>
      <x:name val="Arial"/>
    </x:font>
    <x:font>
      <x:i/>
      <x:sz val="9"/>
      <x:color rgb="FF263238"/>
      <x:name val="Arial"/>
    </x:font>
    <x:font>
      <x:b/>
      <x:sz val="14"/>
      <x:color rgb="FFFFFFFF"/>
      <x:name val="Aptos Narrow"/>
    </x:font>
    <x:font>
      <x:b/>
      <x:sz val="11"/>
      <x:color rgb="FFFFFFFF"/>
      <x:name val="Aptos Narrow"/>
    </x:font>
    <x:font>
      <x:b/>
      <x:sz val="11"/>
      <x:color rgb="FF1F2937"/>
      <x:name val="Aptos Narrow"/>
    </x:font>
    <x:font>
      <x:b/>
      <x:sz val="10"/>
      <x:color rgb="FFFFFFFF"/>
      <x:name val="Aptos"/>
    </x:font>
    <x:font>
      <x:sz val="10"/>
      <x:color rgb="FF000000"/>
      <x:name val="Aptos"/>
    </x:font>
    <x:font>
      <x:b/>
      <x:sz val="10"/>
      <x:color rgb="FF1F2937"/>
      <x:name val="Aptos"/>
    </x:font>
    <x:font>
      <x:b/>
      <x:sz val="14"/>
      <x:color rgb="FFFFFFFF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E8F0F3"/>
      </x:patternFill>
    </x:fill>
    <x:fill>
      <x:patternFill patternType="solid">
        <x:fgColor rgb="FF2F6F73"/>
      </x:patternFill>
    </x:fill>
    <x:fill>
      <x:patternFill patternType="solid">
        <x:fgColor rgb="FFFFFFFF"/>
      </x:patternFill>
    </x:fill>
    <x:fill>
      <x:patternFill patternType="solid">
        <x:fgColor rgb="FF455A64"/>
      </x:patternFill>
    </x:fill>
    <x:fill>
      <x:patternFill patternType="solid">
        <x:fgColor rgb="FFDCEBEC"/>
      </x:patternFill>
    </x:fill>
    <x:fill>
      <x:patternFill patternType="solid">
        <x:fgColor rgb="FFFFF2CC"/>
      </x:patternFill>
    </x:fill>
    <x:fill>
      <x:patternFill patternType="solid">
        <x:fgColor rgb="FF37474F"/>
      </x:patternFill>
    </x:fill>
    <x:fill>
      <x:patternFill patternType="solid">
        <x:fgColor rgb="FFF3F7F8"/>
      </x:patternFill>
    </x:fill>
    <x:fill>
      <x:patternFill patternType="solid">
        <x:fgColor theme="0" tint="-0.49998"/>
      </x:patternFill>
    </x:fill>
    <x:fill>
      <x:patternFill patternType="solid">
        <x:fgColor theme="0" tint="-0.49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2">
    <x:border/>
    <x:border/>
    <x:border/>
    <x:border/>
    <x:border/>
    <x:border/>
    <x:border/>
    <x:border/>
    <x:border/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/>
    <x:border>
      <x:left style="thin">
        <x:color rgb="FFD6C26E"/>
      </x:left>
      <x:top style="thin">
        <x:color rgb="FFD6C26E"/>
      </x:top>
      <x:bottom style="thin">
        <x:color rgb="FFD6C26E"/>
      </x:bottom>
    </x:border>
    <x:border>
      <x:top style="thin">
        <x:color rgb="FFD6C26E"/>
      </x:top>
      <x:bottom style="thin">
        <x:color rgb="FFD6C26E"/>
      </x:bottom>
    </x:border>
    <x:border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top style="thin">
        <x:color rgb="FF25313C"/>
      </x:top>
      <x:bottom style="double">
        <x:color rgb="FF25313C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5" fillId="4" borderId="10" xfId="0" applyFont="1" applyFill="1" applyBorder="1" applyAlignment="1">
      <x:alignment horizontal="left" vertical="center" wrapText="1"/>
    </x:xf>
    <x:xf numFmtId="0" fontId="6" fillId="5" borderId="10" xfId="0" applyFont="1" applyFill="1" applyBorder="1" applyAlignment="1">
      <x:alignment horizontal="left" vertical="center" wrapText="1"/>
    </x:xf>
    <x:xf numFmtId="0" fontId="5" fillId="9" borderId="10" xfId="0" applyFont="1" applyFill="1" applyBorder="1" applyAlignment="1">
      <x:alignment horizontal="center" vertical="center" wrapText="1"/>
    </x:xf>
    <x:xf numFmtId="164" fontId="10" fillId="8" borderId="18" xfId="0" applyNumberFormat="1" applyFont="1" applyFill="1" applyBorder="1" applyAlignment="1">
      <x:alignment horizontal="right" vertical="center" wrapText="1"/>
    </x:xf>
    <x:xf numFmtId="164" fontId="11" fillId="7" borderId="10" xfId="0" applyNumberFormat="1" applyFont="1" applyFill="1" applyBorder="1" applyAlignment="1">
      <x:alignment horizontal="left" vertical="center" wrapText="1"/>
    </x:xf>
    <x:xf numFmtId="165" fontId="10" fillId="8" borderId="18" xfId="0" applyNumberFormat="1" applyFont="1" applyFill="1" applyBorder="1" applyAlignment="1">
      <x:alignment horizontal="right" vertical="center" wrapText="1"/>
    </x:xf>
    <x:xf numFmtId="165" fontId="11" fillId="7" borderId="10" xfId="0" applyNumberFormat="1" applyFont="1" applyFill="1" applyBorder="1" applyAlignment="1">
      <x:alignment horizontal="left" vertical="center" wrapText="1"/>
    </x:xf>
    <x:xf numFmtId="166" fontId="10" fillId="8" borderId="18" xfId="0" applyNumberFormat="1" applyFont="1" applyFill="1" applyBorder="1" applyAlignment="1">
      <x:alignment horizontal="right" vertical="center" wrapText="1"/>
    </x:xf>
    <x:xf numFmtId="166" fontId="11" fillId="7" borderId="10" xfId="0" applyNumberFormat="1" applyFont="1" applyFill="1" applyBorder="1" applyAlignment="1">
      <x:alignment horizontal="left" vertical="center" wrapText="1"/>
    </x:xf>
    <x:xf numFmtId="1" fontId="10" fillId="8" borderId="18" xfId="0" applyNumberFormat="1" applyFont="1" applyFill="1" applyBorder="1" applyAlignment="1">
      <x:alignment horizontal="right" vertical="center" wrapText="1"/>
    </x:xf>
    <x:xf numFmtId="1" fontId="11" fillId="7" borderId="10" xfId="0" applyNumberFormat="1" applyFont="1" applyFill="1" applyBorder="1" applyAlignment="1">
      <x:alignment horizontal="left" vertical="center" wrapText="1"/>
    </x:xf>
    <x:xf numFmtId="167" fontId="10" fillId="8" borderId="18" xfId="0" applyNumberFormat="1" applyFont="1" applyFill="1" applyBorder="1" applyAlignment="1">
      <x:alignment horizontal="right" vertical="center" wrapText="1"/>
    </x:xf>
    <x:xf numFmtId="167" fontId="11" fillId="7" borderId="10" xfId="0" applyNumberFormat="1" applyFont="1" applyFill="1" applyBorder="1" applyAlignment="1">
      <x:alignment horizontal="left" vertical="center" wrapText="1"/>
    </x:xf>
    <x:xf numFmtId="168" fontId="10" fillId="8" borderId="18" xfId="0" applyNumberFormat="1" applyFont="1" applyFill="1" applyBorder="1" applyAlignment="1">
      <x:alignment horizontal="right" vertical="center" wrapText="1"/>
    </x:xf>
    <x:xf numFmtId="168" fontId="11" fillId="7" borderId="10" xfId="0" applyNumberFormat="1" applyFont="1" applyFill="1" applyBorder="1" applyAlignment="1">
      <x:alignment horizontal="left" vertical="center" wrapText="1"/>
    </x:xf>
    <x:xf numFmtId="169" fontId="10" fillId="8" borderId="18" xfId="0" applyNumberFormat="1" applyFont="1" applyFill="1" applyBorder="1" applyAlignment="1">
      <x:alignment horizontal="right" vertical="center" wrapText="1"/>
    </x:xf>
    <x:xf numFmtId="169" fontId="11" fillId="7" borderId="10" xfId="0" applyNumberFormat="1" applyFont="1" applyFill="1" applyBorder="1" applyAlignment="1">
      <x:alignment horizontal="left" vertical="center" wrapText="1"/>
    </x:xf>
    <x:xf numFmtId="17" fontId="5" fillId="9" borderId="10" xfId="0" applyNumberFormat="1" applyFont="1" applyFill="1" applyBorder="1" applyAlignment="1">
      <x:alignment horizontal="center" vertical="center" wrapText="1"/>
    </x:xf>
    <x:xf numFmtId="0" fontId="6" fillId="5" borderId="14" xfId="0" applyFont="1" applyFill="1" applyBorder="1" applyAlignment="1">
      <x:alignment horizontal="left" vertical="center"/>
    </x:xf>
    <x:xf numFmtId="166" fontId="13" fillId="5" borderId="14" xfId="0" applyNumberFormat="1" applyFont="1" applyFill="1" applyBorder="1" applyAlignment="1">
      <x:alignment horizontal="right" vertical="center"/>
    </x:xf>
    <x:xf numFmtId="165" fontId="13" fillId="5" borderId="14" xfId="0" applyNumberFormat="1" applyFont="1" applyFill="1" applyBorder="1" applyAlignment="1">
      <x:alignment horizontal="right" vertical="center"/>
    </x:xf>
    <x:xf numFmtId="165" fontId="9" fillId="5" borderId="19" xfId="0" applyNumberFormat="1" applyFont="1" applyFill="1" applyBorder="1" applyAlignment="1">
      <x:alignment horizontal="left" vertical="center"/>
    </x:xf>
    <x:xf numFmtId="165" fontId="11" fillId="5" borderId="19" xfId="0" applyNumberFormat="1" applyFont="1" applyFill="1" applyBorder="1" applyAlignment="1">
      <x:alignment horizontal="right" vertical="center"/>
    </x:xf>
    <x:xf numFmtId="166" fontId="14" fillId="5" borderId="14" xfId="0" applyNumberFormat="1" applyFont="1" applyFill="1" applyBorder="1" applyAlignment="1">
      <x:alignment horizontal="right" vertical="center"/>
    </x:xf>
    <x:xf numFmtId="1" fontId="13" fillId="5" borderId="14" xfId="0" applyNumberFormat="1" applyFont="1" applyFill="1" applyBorder="1" applyAlignment="1">
      <x:alignment horizontal="right" vertical="center"/>
    </x:xf>
    <x:xf numFmtId="0" fontId="6" fillId="5" borderId="14" xfId="0" applyFont="1" applyFill="1" applyBorder="1" applyAlignment="1">
      <x:alignment horizontal="right" vertical="center"/>
    </x:xf>
    <x:xf numFmtId="166" fontId="9" fillId="5" borderId="19" xfId="0" applyNumberFormat="1" applyFont="1" applyFill="1" applyBorder="1" applyAlignment="1">
      <x:alignment horizontal="left" vertical="center"/>
    </x:xf>
    <x:xf numFmtId="166" fontId="11" fillId="5" borderId="19" xfId="0" applyNumberFormat="1" applyFont="1" applyFill="1" applyBorder="1" applyAlignment="1">
      <x:alignment horizontal="right" vertical="center"/>
    </x:xf>
    <x:xf numFmtId="167" fontId="13" fillId="5" borderId="14" xfId="0" applyNumberFormat="1" applyFont="1" applyFill="1" applyBorder="1" applyAlignment="1">
      <x:alignment horizontal="right" vertical="center"/>
    </x:xf>
    <x:xf numFmtId="17" fontId="6" fillId="5" borderId="14" xfId="0" applyNumberFormat="1" applyFont="1" applyFill="1" applyBorder="1" applyAlignment="1">
      <x:alignment horizontal="left" vertical="center"/>
    </x:xf>
    <x:xf numFmtId="165" fontId="14" fillId="5" borderId="14" xfId="0" applyNumberFormat="1" applyFont="1" applyFill="1" applyBorder="1" applyAlignment="1">
      <x:alignment horizontal="right" vertical="center"/>
    </x:xf>
    <x:xf numFmtId="166" fontId="10" fillId="5" borderId="14" xfId="0" applyNumberFormat="1" applyFont="1" applyFill="1" applyBorder="1" applyAlignment="1">
      <x:alignment horizontal="right" vertical="center"/>
    </x:xf>
    <x:xf numFmtId="165" fontId="15" fillId="5" borderId="19" xfId="0" applyNumberFormat="1" applyFont="1" applyFill="1" applyBorder="1" applyAlignment="1">
      <x:alignment horizontal="right" vertical="center"/>
    </x:xf>
    <x:xf numFmtId="169" fontId="13" fillId="5" borderId="14" xfId="0" applyNumberFormat="1" applyFont="1" applyFill="1" applyBorder="1" applyAlignment="1">
      <x:alignment horizontal="right" vertical="center"/>
    </x:xf>
    <x:xf numFmtId="165" fontId="10" fillId="5" borderId="14" xfId="0" applyNumberFormat="1" applyFont="1" applyFill="1" applyBorder="1" applyAlignment="1">
      <x:alignment horizontal="right" vertical="center"/>
    </x:xf>
    <x:xf numFmtId="0" fontId="16" fillId="2" borderId="14" xfId="0" applyFont="1" applyFill="1" applyBorder="1" applyAlignment="1">
      <x:alignment vertical="center"/>
    </x:xf>
    <x:xf numFmtId="0" fontId="17" fillId="4" borderId="14" xfId="0" applyFont="1" applyFill="1" applyBorder="1" applyAlignment="1">
      <x:alignment vertical="center"/>
    </x:xf>
    <x:xf numFmtId="167" fontId="14" fillId="5" borderId="14" xfId="0" applyNumberFormat="1" applyFont="1" applyFill="1" applyBorder="1" applyAlignment="1">
      <x:alignment horizontal="right" vertical="center"/>
    </x:xf>
    <x:xf numFmtId="0" fontId="6" fillId="5" borderId="10" xfId="0" applyFont="1" applyFill="1" applyBorder="1" applyAlignment="1">
      <x:alignment horizontal="left" vertical="center"/>
    </x:xf>
    <x:xf numFmtId="165" fontId="6" fillId="5" borderId="10" xfId="0" applyNumberFormat="1" applyFont="1" applyFill="1" applyBorder="1" applyAlignment="1">
      <x:alignment horizontal="left" vertical="center"/>
    </x:xf>
    <x:xf numFmtId="166" fontId="6" fillId="5" borderId="10" xfId="0" applyNumberFormat="1" applyFont="1" applyFill="1" applyBorder="1" applyAlignment="1">
      <x:alignment horizontal="left" vertical="center"/>
    </x:xf>
    <x:xf numFmtId="0" fontId="5" fillId="4" borderId="10" xfId="0" applyFont="1" applyFill="1" applyBorder="1" applyAlignment="1">
      <x:alignment horizontal="center" vertical="center" wrapText="1"/>
    </x:xf>
    <x:xf numFmtId="17" fontId="5" fillId="4" borderId="10" xfId="0" applyNumberFormat="1" applyFont="1" applyFill="1" applyBorder="1" applyAlignment="1">
      <x:alignment horizontal="center" vertical="center" wrapText="1"/>
    </x:xf>
    <x:xf numFmtId="0" fontId="6" fillId="10" borderId="10" xfId="0" applyFont="1" applyFill="1" applyBorder="1" applyAlignment="1">
      <x:alignment horizontal="left" vertical="center" wrapText="1"/>
    </x:xf>
    <x:xf numFmtId="0" fontId="9" fillId="3" borderId="10" xfId="0" applyFont="1" applyFill="1" applyBorder="1" applyAlignment="1">
      <x:alignment horizontal="center" vertical="center" wrapText="1"/>
    </x:xf>
    <x:xf numFmtId="0" fontId="8" fillId="7" borderId="10" xfId="0" applyFont="1" applyFill="1" applyBorder="1" applyAlignment="1">
      <x:alignment horizontal="center" vertical="center" wrapText="1"/>
    </x:xf>
    <x:xf numFmtId="0" fontId="19" fillId="5" borderId="14" xfId="0" applyFont="1" applyFill="1" applyBorder="1" applyAlignment="1">
      <x:alignment horizontal="left" vertical="center"/>
    </x:xf>
    <x:xf numFmtId="165" fontId="20" fillId="5" borderId="14" xfId="0" applyNumberFormat="1" applyFont="1" applyFill="1" applyBorder="1" applyAlignment="1">
      <x:alignment horizontal="right" vertical="center"/>
    </x:xf>
    <x:xf numFmtId="17" fontId="5" fillId="9" borderId="13" xfId="0" applyNumberFormat="1" applyFont="1" applyFill="1" applyBorder="1" applyAlignment="1">
      <x:alignment horizontal="center" vertical="center" wrapText="1"/>
    </x:xf>
    <x:xf numFmtId="0" fontId="21" fillId="0" borderId="14" xfId="0" applyFont="1" applyBorder="1" applyAlignment="1">
      <x:alignment horizontal="left" vertical="center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vertical="center"/>
    </x:xf>
    <x:xf numFmtId="0" fontId="7" fillId="4" borderId="14" xfId="0" applyFont="1" applyFill="1" applyBorder="1" applyAlignment="1">
      <x:alignment vertical="center"/>
    </x:xf>
    <x:xf numFmtId="165" fontId="12" fillId="0" borderId="0" xfId="0" applyNumberFormat="1" applyFont="1" applyAlignment="1">
      <x:alignment vertical="center"/>
    </x:xf>
    <x:xf numFmtId="2" fontId="6" fillId="10" borderId="10" xfId="0" applyNumberFormat="1" applyFont="1" applyFill="1" applyBorder="1" applyAlignment="1">
      <x:alignment horizontal="right" vertical="center" wrapText="1"/>
    </x:xf>
    <x:xf numFmtId="165" fontId="6" fillId="5" borderId="10" xfId="0" applyNumberFormat="1" applyFont="1" applyFill="1" applyBorder="1" applyAlignment="1">
      <x:alignment horizontal="right" vertical="center"/>
    </x:xf>
    <x:xf numFmtId="0" fontId="1" fillId="2" borderId="1" xfId="0" applyFont="1" applyFill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2" fillId="0" borderId="4" xfId="0" applyFont="1" applyBorder="1" applyAlignment="1">
      <x:alignment vertical="center"/>
    </x:xf>
    <x:xf numFmtId="0" fontId="2" fillId="0" borderId="5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6" fillId="5" borderId="11" xfId="0" applyFont="1" applyFill="1" applyBorder="1" applyAlignment="1">
      <x:alignment horizontal="left" vertical="center" wrapText="1"/>
    </x:xf>
    <x:xf numFmtId="0" fontId="2" fillId="0" borderId="12" xfId="0" applyFont="1" applyBorder="1" applyAlignment="1">
      <x:alignment vertical="center"/>
    </x:xf>
    <x:xf numFmtId="0" fontId="2" fillId="0" borderId="13" xfId="0" applyFont="1" applyBorder="1" applyAlignment="1">
      <x:alignment vertical="center"/>
    </x:xf>
    <x:xf numFmtId="0" fontId="7" fillId="6" borderId="7" xfId="0" applyFont="1" applyFill="1" applyBorder="1" applyAlignment="1">
      <x:alignment horizontal="left" vertical="center"/>
    </x:xf>
    <x:xf numFmtId="0" fontId="2" fillId="0" borderId="8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  <x:xf numFmtId="0" fontId="3" fillId="3" borderId="7" xfId="0" applyFont="1" applyFill="1" applyBorder="1" applyAlignment="1">
      <x:alignment vertical="center"/>
    </x:xf>
    <x:xf numFmtId="0" fontId="10" fillId="8" borderId="15" xfId="0" applyFont="1" applyFill="1" applyBorder="1" applyAlignment="1">
      <x:alignment horizontal="center" vertical="center"/>
    </x:xf>
    <x:xf numFmtId="0" fontId="2" fillId="0" borderId="16" xfId="0" applyFont="1" applyBorder="1" applyAlignment="1">
      <x:alignment vertical="center"/>
    </x:xf>
    <x:xf numFmtId="0" fontId="2" fillId="0" borderId="17" xfId="0" applyFont="1" applyBorder="1" applyAlignment="1">
      <x:alignment vertical="center"/>
    </x:xf>
    <x:xf numFmtId="0" fontId="18" fillId="2" borderId="7" xfId="0" applyFont="1" applyFill="1" applyBorder="1" applyAlignment="1">
      <x:alignment vertical="center"/>
    </x:xf>
    <x:xf numFmtId="0" fontId="3" fillId="3" borderId="7" xfId="0" applyFont="1" applyFill="1" applyBorder="1" applyAlignment="1">
      <x:alignment horizontal="left" vertical="center"/>
    </x:xf>
    <x:xf numFmtId="0" fontId="7" fillId="11" borderId="7" xfId="0" applyFont="1" applyFill="1" applyBorder="1" applyAlignment="1">
      <x:alignment horizontal="left" vertical="center"/>
    </x:xf>
    <x:xf numFmtId="0" fontId="2" fillId="12" borderId="8" xfId="0" applyFont="1" applyFill="1" applyBorder="1" applyAlignment="1">
      <x:alignment vertical="center"/>
    </x:xf>
    <x:xf numFmtId="0" fontId="2" fillId="12" borderId="9" xfId="0" applyFont="1" applyFill="1" applyBorder="1" applyAlignment="1">
      <x:alignment vertical="center"/>
    </x:xf>
    <x:xf numFmtId="0" fontId="6" fillId="10" borderId="10" xfId="0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2" fillId="13" borderId="0" xfId="0" applyNumberFormat="1" applyFont="1" applyFill="1" applyBorder="1"/>
    <x:xf numFmtId="0" fontId="22" fillId="13" borderId="0" xfId="0" applyNumberFormat="1" applyFont="1" applyFill="1" applyBorder="1" applyAlignment="1">
      <x:alignment horizontal="left"/>
    </x:xf>
    <x:xf numFmtId="0" fontId="23" fillId="13" borderId="0" xfId="0" applyNumberFormat="1" applyFont="1" applyFill="1" applyBorder="1"/>
    <x:xf numFmtId="0" fontId="23" fillId="13" borderId="0" xfId="0" applyNumberFormat="1" applyFont="1" applyFill="1" applyBorder="1" applyAlignment="1">
      <x:alignment wrapText="1"/>
    </x:xf>
    <x:xf numFmtId="0" fontId="23" fillId="13" borderId="0" xfId="0" applyNumberFormat="1" applyFont="1" applyFill="1" applyBorder="1" applyAlignment="1">
      <x:alignment horizontal="center" wrapText="1"/>
    </x:xf>
    <x:xf numFmtId="0" fontId="23" fillId="13" borderId="0" xfId="0" applyNumberFormat="1" applyFont="1" applyFill="1" applyBorder="1" applyAlignment="1">
      <x:alignment horizontal="center" vertical="center" wrapText="1"/>
    </x:xf>
    <x:xf numFmtId="0" fontId="23" fillId="13" borderId="2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4" fillId="14" borderId="0" xfId="0" applyNumberFormat="1" applyFont="1" applyFill="1" applyBorder="1"/>
    <x:xf numFmtId="0" fontId="24" fillId="14" borderId="21" xfId="0" applyNumberFormat="1" applyFont="1" applyFill="1" applyBorder="1"/>
    <x:xf numFmtId="0" fontId="0" fillId="15" borderId="0" xfId="0" applyNumberFormat="1" applyFont="1" applyFill="1" applyBorder="1"/>
    <x:xf numFmtId="200" fontId="0" fillId="0" borderId="0" xfId="0" applyNumberFormat="1" applyFont="1" applyFill="1" applyBorder="1"/>
    <x:xf numFmtId="200" fontId="24" fillId="14" borderId="21" xfId="0" applyNumberFormat="1" applyFont="1" applyFill="1" applyBorder="1"/>
    <x:xf numFmtId="201" fontId="0" fillId="0" borderId="0" xfId="0" applyNumberFormat="1" applyFont="1" applyFill="1" applyBorder="1"/>
    <x:xf numFmtId="201" fontId="0" fillId="15" borderId="0" xfId="0" applyNumberFormat="1" applyFont="1" applyFill="1" applyBorder="1"/>
    <x:xf numFmtId="200" fontId="0" fillId="15" borderId="0" xfId="0" applyNumberFormat="1" applyFont="1" applyFill="1" applyBorder="1"/>
    <x:xf numFmtId="0" fontId="23" fillId="13" borderId="21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200" fontId="0" fillId="0" borderId="21" xfId="0" applyNumberFormat="1" applyFont="1" applyFill="1" applyBorder="1"/>
    <x:xf numFmtId="201" fontId="0" fillId="0" borderId="21" xfId="0" applyNumberFormat="1" applyFont="1" applyFill="1" applyBorder="1"/>
    <x:xf numFmtId="201" fontId="0" fillId="15" borderId="21" xfId="0" applyNumberFormat="1" applyFont="1" applyFill="1" applyBorder="1"/>
    <x:xf numFmtId="200" fontId="0" fillId="15" borderId="21" xfId="0" applyNumberFormat="1" applyFont="1" applyFill="1" applyBorder="1"/>
    <x:xf numFmtId="0" fontId="25" fillId="13" borderId="0" xfId="0" applyNumberFormat="1" applyFont="1" applyFill="1" applyBorder="1" applyAlignment="1">
      <x:alignment horizontal="left"/>
    </x:xf>
    <x:xf numFmtId="0" fontId="26" fillId="0" borderId="0" xfId="0" applyNumberFormat="1" applyFont="1" applyFill="1" applyBorder="1"/>
    <x:xf numFmtId="0" fontId="25" fillId="13" borderId="21" xfId="0" applyNumberFormat="1" applyFont="1" applyFill="1" applyBorder="1" applyAlignment="1">
      <x:alignment horizontal="center" vertical="center" wrapText="1"/>
    </x:xf>
    <x:xf numFmtId="0" fontId="27" fillId="14" borderId="21" xfId="0" applyNumberFormat="1" applyFont="1" applyFill="1" applyBorder="1"/>
    <x:xf numFmtId="0" fontId="26" fillId="0" borderId="21" xfId="0" applyNumberFormat="1" applyFont="1" applyFill="1" applyBorder="1"/>
    <x:xf numFmtId="200" fontId="26" fillId="0" borderId="21" xfId="0" applyNumberFormat="1" applyFont="1" applyFill="1" applyBorder="1"/>
    <x:xf numFmtId="201" fontId="26" fillId="0" borderId="21" xfId="0" applyNumberFormat="1" applyFont="1" applyFill="1" applyBorder="1"/>
    <x:xf numFmtId="200" fontId="27" fillId="14" borderId="21" xfId="0" applyNumberFormat="1" applyFont="1" applyFill="1" applyBorder="1"/>
    <x:xf numFmtId="201" fontId="26" fillId="15" borderId="21" xfId="0" applyNumberFormat="1" applyFont="1" applyFill="1" applyBorder="1"/>
    <x:xf numFmtId="200" fontId="26" fillId="15" borderId="21" xfId="0" applyNumberFormat="1" applyFont="1" applyFill="1" applyBorder="1"/>
    <x:xf numFmtId="0" fontId="28" fillId="13" borderId="0" xfId="0" applyNumberFormat="1" applyFont="1" applyFill="1" applyBorder="1" applyAlignment="1">
      <x:alignment horizontal="left"/>
    </x:xf>
    <x:xf numFmtId="0" fontId="28" fillId="13" borderId="0" xfId="0" applyNumberFormat="1" applyFont="1" applyFill="1" applyBorder="1" applyAlignment="1">
      <x:alignment horizontal="left" wrapText="1"/>
    </x:xf>
    <x:xf numFmtId="0" fontId="26" fillId="0" borderId="0" xfId="0" applyNumberFormat="1" applyFont="1" applyFill="1" applyBorder="1" applyAlignment="1">
      <x:alignment wrapText="1"/>
    </x:xf>
    <x:xf numFmtId="0" fontId="27" fillId="14" borderId="21" xfId="0" applyNumberFormat="1" applyFont="1" applyFill="1" applyBorder="1" applyAlignment="1">
      <x:alignment wrapText="1"/>
    </x:xf>
    <x:xf numFmtId="0" fontId="26" fillId="0" borderId="21" xfId="0" applyNumberFormat="1" applyFont="1" applyFill="1" applyBorder="1" applyAlignment="1">
      <x:alignment wrapText="1"/>
    </x:xf>
    <x:xf numFmtId="200" fontId="26" fillId="0" borderId="21" xfId="0" applyNumberFormat="1" applyFont="1" applyFill="1" applyBorder="1" applyAlignment="1">
      <x:alignment wrapText="1"/>
    </x:xf>
    <x:xf numFmtId="201" fontId="26" fillId="0" borderId="21" xfId="0" applyNumberFormat="1" applyFont="1" applyFill="1" applyBorder="1" applyAlignment="1">
      <x:alignment wrapText="1"/>
    </x:xf>
    <x:xf numFmtId="200" fontId="27" fillId="14" borderId="21" xfId="0" applyNumberFormat="1" applyFont="1" applyFill="1" applyBorder="1" applyAlignment="1">
      <x:alignment wrapText="1"/>
    </x:xf>
    <x:xf numFmtId="201" fontId="26" fillId="15" borderId="21" xfId="0" applyNumberFormat="1" applyFont="1" applyFill="1" applyBorder="1" applyAlignment="1">
      <x:alignment wrapText="1"/>
    </x:xf>
    <x:xf numFmtId="200" fontId="26" fillId="15" borderId="21" xfId="0" applyNumberFormat="1" applyFont="1" applyFill="1" applyBorder="1" applyAlignment="1">
      <x:alignment wrapText="1"/>
    </x:xf>
    <x:xf numFmtId="0" fontId="22" fillId="1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</x:cellXfs>
  <x:cellStyles count="1">
    <x:cellStyle name="Normal" xfId="0"/>
  </x:cellStyles>
  <x:dxfs count="16"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5f0ca6e8a4467" /><Relationship Type="http://schemas.openxmlformats.org/officeDocument/2006/relationships/theme" Target="/xl/theme/theme1.xml" Id="Rd415ffe4f5024b27" /><Relationship Type="http://schemas.openxmlformats.org/officeDocument/2006/relationships/sharedStrings" Target="/xl/sharedStrings.xml" Id="Rd5abc6ba76354d6a" /><Relationship Type="http://schemas.openxmlformats.org/officeDocument/2006/relationships/worksheet" Target="/xl/worksheets/sheet1.xml" Id="R26acb1e512094857" /><Relationship Type="http://schemas.openxmlformats.org/officeDocument/2006/relationships/worksheet" Target="/xl/worksheets/sheet2.xml" Id="R5383d26a62a747a5" /><Relationship Type="http://schemas.openxmlformats.org/officeDocument/2006/relationships/worksheet" Target="/xl/worksheets/sheet3.xml" Id="R955c390c9da1417f" /><Relationship Type="http://schemas.openxmlformats.org/officeDocument/2006/relationships/worksheet" Target="/xl/worksheets/sheet4.xml" Id="Rb3e9b08b6416401e" /><Relationship Type="http://schemas.openxmlformats.org/officeDocument/2006/relationships/worksheet" Target="/xl/worksheets/sheet5.xml" Id="Rfb44241178df456e" /><Relationship Type="http://schemas.openxmlformats.org/officeDocument/2006/relationships/worksheet" Target="/xl/worksheets/sheet6.xml" Id="Rd8c8c484c47a4a5e" /><Relationship Type="http://schemas.openxmlformats.org/officeDocument/2006/relationships/worksheet" Target="/xl/worksheets/sheet7.xml" Id="Rfaab4547e7844c38" /><Relationship Type="http://schemas.openxmlformats.org/officeDocument/2006/relationships/worksheet" Target="/xl/worksheets/sheet8.xml" Id="R455508e5a927464b" /><Relationship Type="http://schemas.openxmlformats.org/officeDocument/2006/relationships/worksheet" Target="/xl/worksheets/sheet9.xml" Id="Rb7d2b760303e43c7" /><Relationship Type="http://schemas.openxmlformats.org/officeDocument/2006/relationships/worksheet" Target="/xl/worksheets/sheet10.xml" Id="Re13f04161b8f4a0c" /><Relationship Type="http://schemas.openxmlformats.org/officeDocument/2006/relationships/worksheet" Target="/xl/worksheets/sheet11.xml" Id="Rdbc5ff9cd5f54472" /><Relationship Type="http://schemas.openxmlformats.org/officeDocument/2006/relationships/worksheet" Target="/xl/worksheets/sheet12.xml" Id="R2825651790b848e7" /><Relationship Type="http://schemas.openxmlformats.org/officeDocument/2006/relationships/worksheet" Target="/xl/worksheets/sheet13.xml" Id="Raac3552bac1349c9" /><Relationship Type="http://schemas.openxmlformats.org/officeDocument/2006/relationships/worksheet" Target="/xl/worksheets/sheet14.xml" Id="Re0f65effc4cb448a" /><Relationship Type="http://schemas.openxmlformats.org/officeDocument/2006/relationships/worksheet" Target="/xl/worksheets/sheet15.xml" Id="R68d7e1364ef24213" /><Relationship Type="http://schemas.openxmlformats.org/officeDocument/2006/relationships/worksheet" Target="/xl/worksheets/sheet16.xml" Id="Rbaf552efc11d4341" /><Relationship Type="http://schemas.openxmlformats.org/officeDocument/2006/relationships/worksheet" Target="/xl/worksheets/sheet17.xml" Id="R3ec2989bf1db4e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4a13fd9e424af0" /><Relationship Type="http://schemas.openxmlformats.org/officeDocument/2006/relationships/chart" Target="/xl/drawings/charts/chart2.xml" Id="Rf34af541432d4bdc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Revenue and EBITDA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v>Revenue</c:v>
          </c:tx>
          <c:spPr>
            <a:ln xmlns:a="http://schemas.openxmlformats.org/drawingml/2006/main" cmpd="sng">
              <a:solidFill>
                <a:srgbClr val="156082"/>
              </a:solidFill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'Exec Sum'!$B$26:$B$37</c:f>
              <c:strCache>
                <c:ptCount val="12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</c:strCache>
            </c:strRef>
          </c:cat>
          <c:val>
            <c:numRef>
              <c:f>'Exec Sum'!$C$26:$C$37</c:f>
              <c:numCache>
                <c:formatCode>\$#,##0;[Red]\(\$#,##0\);\-</c:formatCode>
                <c:ptCount val="12"/>
                <c:pt idx="0">
                  <c:v>627.5648199999999</c:v>
                </c:pt>
                <c:pt idx="1">
                  <c:v>666.8798509067204</c:v>
                </c:pt>
                <c:pt idx="2">
                  <c:v>709.0826662348098</c:v>
                </c:pt>
                <c:pt idx="3">
                  <c:v>755.2839856077072</c:v>
                </c:pt>
                <c:pt idx="4">
                  <c:v>805.7680131403232</c:v>
                </c:pt>
                <c:pt idx="5">
                  <c:v>860.5107611842532</c:v>
                </c:pt>
                <c:pt idx="6">
                  <c:v>919.4883866571955</c:v>
                </c:pt>
                <c:pt idx="7">
                  <c:v>982.6771901757951</c:v>
                </c:pt>
                <c:pt idx="8">
                  <c:v>1050.0536151936892</c:v>
                </c:pt>
                <c:pt idx="9">
                  <c:v>1121.5942471447256</c:v>
                </c:pt>
                <c:pt idx="10">
                  <c:v>1197.2758125913224</c:v>
                </c:pt>
                <c:pt idx="11">
                  <c:v>1277.0751783779358</c:v>
                </c:pt>
              </c:numCache>
            </c:numRef>
          </c:val>
          <c:smooth val="0"/>
        </c:ser>
        <c:ser>
          <c:idx val="1"/>
          <c:order val="1"/>
          <c:tx>
            <c:v>EBITDA</c:v>
          </c:tx>
          <c:spPr>
            <a:ln xmlns:a="http://schemas.openxmlformats.org/drawingml/2006/main" cmpd="sng">
              <a:solidFill>
                <a:srgbClr val="E97132"/>
              </a:solidFill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'Exec Sum'!$B$26:$B$37</c:f>
              <c:strCache>
                <c:ptCount val="12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</c:strCache>
            </c:strRef>
          </c:cat>
          <c:val>
            <c:numRef>
              <c:f>'Exec Sum'!$D$26:$D$37</c:f>
              <c:numCache>
                <c:formatCode>\$#,##0;[Red]\(\$#,##0\);\-</c:formatCode>
                <c:ptCount val="12"/>
                <c:pt idx="0">
                  <c:v>-635.5673976</c:v>
                </c:pt>
                <c:pt idx="1">
                  <c:v>-639.2041989564893</c:v>
                </c:pt>
                <c:pt idx="2">
                  <c:v>-640.4800744272559</c:v>
                </c:pt>
                <c:pt idx="3">
                  <c:v>-638.4828577284413</c:v>
                </c:pt>
                <c:pt idx="4">
                  <c:v>-632.7584931475358</c:v>
                </c:pt>
                <c:pt idx="5">
                  <c:v>-623.3279425193772</c:v>
                </c:pt>
                <c:pt idx="6">
                  <c:v>-610.212041382822</c:v>
                </c:pt>
                <c:pt idx="7">
                  <c:v>-593.4314997383198</c:v>
                </c:pt>
                <c:pt idx="8">
                  <c:v>-573.0069028009517</c:v>
                </c:pt>
                <c:pt idx="9">
                  <c:v>-548.9587117489432</c:v>
                </c:pt>
                <c:pt idx="10">
                  <c:v>-521.3072644676884</c:v>
                </c:pt>
                <c:pt idx="11">
                  <c:v>-490.07277628931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0160722"/>
        <c:axId val="950082193"/>
      </c:lineChart>
      <c:catAx>
        <c:axId val="1840160722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950082193"/>
        <c:crosses val="autoZero"/>
        <c:lblOffset val="100"/>
      </c:catAx>
      <c:valAx>
        <c:axId val="950082193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\$0.0,&quot;M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184016072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1A1A1A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Ending cash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Ending cash</c:v>
          </c:tx>
          <c:spPr>
            <a:ln xmlns:a="http://schemas.openxmlformats.org/drawingml/2006/main" cmpd="sng">
              <a:solidFill>
                <a:srgbClr val="156082"/>
              </a:solidFill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'Exec Sum'!$B$40:$B$51</c:f>
              <c:strCache>
                <c:ptCount val="12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</c:strCache>
            </c:strRef>
          </c:cat>
          <c:val>
            <c:numRef>
              <c:f>'Exec Sum'!$C$40:$C$51</c:f>
              <c:numCache>
                <c:formatCode>\$#,##0;[Red]\(\$#,##0\);\-</c:formatCode>
                <c:ptCount val="12"/>
                <c:pt idx="0">
                  <c:v>4427.787062750877</c:v>
                </c:pt>
                <c:pt idx="1">
                  <c:v>4040.044318442212</c:v>
                </c:pt>
                <c:pt idx="2">
                  <c:v>3646.2752665000457</c:v>
                </c:pt>
                <c:pt idx="3">
                  <c:v>3258.384875097866</c:v>
                </c:pt>
                <c:pt idx="4">
                  <c:v>2874.9009907342006</c:v>
                </c:pt>
                <c:pt idx="5">
                  <c:v>2494.9772915572917</c:v>
                </c:pt>
                <c:pt idx="6">
                  <c:v>2117.772225687001</c:v>
                </c:pt>
                <c:pt idx="7">
                  <c:v>1742.4489824795949</c:v>
                </c:pt>
                <c:pt idx="8">
                  <c:v>1368.1754639648798</c:v>
                </c:pt>
                <c:pt idx="9">
                  <c:v>994.1242564546923</c:v>
                </c:pt>
                <c:pt idx="10">
                  <c:v>619.4726023216778</c:v>
                </c:pt>
                <c:pt idx="11">
                  <c:v>243.40237194736096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296731"/>
        <c:axId val="1423862269"/>
      </c:lineChart>
      <c:catAx>
        <c:axId val="388296731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1423862269"/>
        <c:crosses val="autoZero"/>
        <c:lblOffset val="100"/>
      </c:catAx>
      <c:valAx>
        <c:axId val="1423862269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\$0.0,&quot;M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388296731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24</xdr:row>
      <xdr:rowOff>0</xdr:rowOff>
    </xdr:from>
    <xdr:ext cx="8229600" cy="22288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4a13fd9e424af0"/>
        </a:graphicData>
      </a:graphic>
    </xdr:graphicFrame>
    <xdr:clientData/>
  </xdr:oneCellAnchor>
  <xdr:oneCellAnchor>
    <xdr:from>
      <xdr:col>6</xdr:col>
      <xdr:colOff>0</xdr:colOff>
      <xdr:row>38</xdr:row>
      <xdr:rowOff>0</xdr:rowOff>
    </xdr:from>
    <xdr:ext cx="8229600" cy="22288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4af541432d4bdc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853d2830f6449fb" /></Relationships>
</file>

<file path=xl/worksheets/sheet1.xml><?xml version="1.0" encoding="utf-8"?>
<x:worksheet xmlns:x="http://schemas.openxmlformats.org/spreadsheetml/2006/main">
  <x:sheetPr>
    <x:tabColor rgb="FFDCEBEC"/>
  </x:sheetPr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20" style="51" customWidth="1"/>
    <x:col min="3" max="3" width="71.5" style="51" customWidth="1"/>
    <x:col min="4" max="9" width="18.5" style="51" customWidth="1"/>
    <x:col min="10" max="27" width="8.83203125" style="51" customWidth="1"/>
    <x:col min="28" max="16384" width="12.6640625" style="51" customWidth="0"/>
  </x:cols>
  <x:sheetData>
    <x:row r="2" ht="13.5" customHeight="1">
      <x:c r="B2" s="57" t="str">
        <x:v>Low-Altitude Economy Three-Statement Forecast</x:v>
      </x:c>
      <x:c r="C2" s="58"/>
      <x:c r="D2" s="58"/>
      <x:c r="E2" s="58"/>
      <x:c r="F2" s="58"/>
      <x:c r="G2" s="58"/>
      <x:c r="H2" s="58"/>
      <x:c r="I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2"/>
    </x:row>
    <x:row r="4" ht="13.5" customHeight="1">
      <x:c r="B4" s="69" t="str">
        <x:v>Parrot 2024A base | 2025E–2027E project scenario | EUR millions</x:v>
      </x:c>
      <x:c r="C4" s="67"/>
      <x:c r="D4" s="67"/>
      <x:c r="E4" s="67"/>
      <x:c r="F4" s="67"/>
      <x:c r="G4" s="67"/>
      <x:c r="H4" s="67"/>
      <x:c r="I4" s="68"/>
    </x:row>
    <x:row r="5" ht="13.5" customHeight="1">
      <x:c r="B5" s="52"/>
      <x:c r="C5" s="52"/>
      <x:c r="D5" s="52"/>
      <x:c r="E5" s="52"/>
      <x:c r="F5" s="52"/>
      <x:c r="G5" s="52"/>
      <x:c r="H5" s="52"/>
      <x:c r="I5" s="52"/>
    </x:row>
    <x:row r="6" ht="13.5" customHeight="1">
      <x:c r="B6" s="1" t="str">
        <x:v>Purpose</x:v>
      </x:c>
      <x:c r="C6" s="2" t="str">
        <x:v>Source-backed Parrot 2024 historical base with transparent project-level forecast assumptions; retained template schedules are reference structure only.</x:v>
      </x:c>
      <x:c r="D6" s="52"/>
      <x:c r="E6" s="52"/>
      <x:c r="F6" s="52"/>
      <x:c r="G6" s="52"/>
      <x:c r="H6" s="52"/>
      <x:c r="I6" s="52"/>
    </x:row>
    <x:row r="7" ht="13.5" customHeight="1">
      <x:c r="B7" s="1" t="str">
        <x:v>Historical source</x:v>
      </x:c>
      <x:c r="C7" s="2" t="str">
        <x:v>Parrot 2024 Universal Registration Document, consolidated statements and cash flow statement.</x:v>
      </x:c>
      <x:c r="D7" s="52"/>
      <x:c r="E7" s="52"/>
      <x:c r="F7" s="52"/>
      <x:c r="G7" s="52"/>
      <x:c r="H7" s="52"/>
      <x:c r="I7" s="52"/>
    </x:row>
    <x:row r="8" ht="13.5" customHeight="1">
      <x:c r="B8" s="1" t="str">
        <x:v>Forecast status</x:v>
      </x:c>
      <x:c r="C8" s="2" t="str">
        <x:v>Scenario analysis, not company guidance or an investment recommendation.</x:v>
      </x:c>
      <x:c r="D8" s="52"/>
      <x:c r="E8" s="52"/>
      <x:c r="F8" s="52"/>
      <x:c r="G8" s="52"/>
      <x:c r="H8" s="52"/>
      <x:c r="I8" s="52"/>
    </x:row>
    <x:row r="9" ht="13.5" customHeight="1">
      <x:c r="B9" s="1" t="s">
        <x:v>0</x:v>
      </x:c>
      <x:c r="C9" s="2" t="str">
        <x:f>Assumptions!$C$5</x:f>
        <x:v>Base</x:v>
      </x:c>
      <x:c r="D9" s="52"/>
      <x:c r="E9" s="52"/>
      <x:c r="F9" s="52"/>
      <x:c r="G9" s="52"/>
      <x:c r="H9" s="52"/>
      <x:c r="I9" s="52"/>
    </x:row>
    <x:row r="10" ht="13.5" customHeight="1">
      <x:c r="B10" s="1" t="s">
        <x:v>1</x:v>
      </x:c>
      <x:c r="C10" s="2" t="s">
        <x:v>2</x:v>
      </x:c>
      <x:c r="D10" s="52"/>
      <x:c r="E10" s="52"/>
      <x:c r="F10" s="52"/>
      <x:c r="G10" s="52"/>
      <x:c r="H10" s="52"/>
      <x:c r="I10" s="52"/>
    </x:row>
    <x:row r="11" ht="13.5" customHeight="1">
      <x:c r="B11" s="1" t="s">
        <x:v>3</x:v>
      </x:c>
      <x:c r="C11" s="2" t="s">
        <x:v>4</x:v>
      </x:c>
      <x:c r="D11" s="52"/>
      <x:c r="E11" s="52"/>
      <x:c r="F11" s="52"/>
      <x:c r="G11" s="52"/>
      <x:c r="H11" s="52"/>
      <x:c r="I11" s="52"/>
    </x:row>
    <x:row r="12" ht="13.5" customHeight="1">
      <x:c r="B12" s="1" t="s">
        <x:v>5</x:v>
      </x:c>
      <x:c r="C12" s="2" t="s">
        <x:v>6</x:v>
      </x:c>
      <x:c r="D12" s="52"/>
      <x:c r="E12" s="52"/>
      <x:c r="F12" s="52"/>
      <x:c r="G12" s="52"/>
      <x:c r="H12" s="52"/>
      <x:c r="I12" s="52"/>
    </x:row>
    <x:row r="13" ht="13.5" customHeight="1">
      <x:c r="B13" s="1" t="s">
        <x:v>7</x:v>
      </x:c>
      <x:c r="C13" s="2" t="str">
        <x:f>'Exec Sum'!$C$6</x:f>
        <x:v>PASS</x:v>
      </x:c>
      <x:c r="D13" s="52"/>
      <x:c r="E13" s="52"/>
      <x:c r="F13" s="52"/>
      <x:c r="G13" s="52"/>
      <x:c r="H13" s="52"/>
      <x:c r="I13" s="52"/>
    </x:row>
    <x:row r="14" ht="13.5" customHeight="1">
      <x:c r="B14" s="1" t="s">
        <x:v>8</x:v>
      </x:c>
      <x:c r="C14" s="2" t="s">
        <x:v>9</x:v>
      </x:c>
      <x:c r="D14" s="52"/>
      <x:c r="E14" s="52"/>
      <x:c r="F14" s="52"/>
      <x:c r="G14" s="52"/>
      <x:c r="H14" s="52"/>
      <x:c r="I14" s="52"/>
    </x:row>
    <x:row r="15" ht="13.5" customHeight="1">
      <x:c r="B15" s="52"/>
      <x:c r="C15" s="52"/>
      <x:c r="D15" s="52"/>
      <x:c r="E15" s="52"/>
      <x:c r="F15" s="52"/>
      <x:c r="G15" s="52"/>
      <x:c r="H15" s="52"/>
      <x:c r="I15" s="52"/>
    </x:row>
    <x:row r="16" ht="13.5" customHeight="1">
      <x:c r="B16" s="66" t="s">
        <x:v>10</x:v>
      </x:c>
      <x:c r="C16" s="67"/>
      <x:c r="D16" s="67"/>
      <x:c r="E16" s="67"/>
      <x:c r="F16" s="67"/>
      <x:c r="G16" s="67"/>
      <x:c r="H16" s="67"/>
      <x:c r="I16" s="68"/>
    </x:row>
    <x:row r="17" ht="33.75" customHeight="1">
      <x:c r="B17" s="46">
        <x:v>1</x:v>
      </x:c>
      <x:c r="C17" s="63" t="s">
        <x:v>11</x:v>
      </x:c>
      <x:c r="D17" s="64"/>
      <x:c r="E17" s="64"/>
      <x:c r="F17" s="64"/>
      <x:c r="G17" s="64"/>
      <x:c r="H17" s="64"/>
      <x:c r="I17" s="65"/>
    </x:row>
    <x:row r="18" ht="33.75" customHeight="1">
      <x:c r="B18" s="46" t="n">
        <x:f>B17+1</x:f>
        <x:v>2</x:v>
      </x:c>
      <x:c r="C18" s="63" t="s">
        <x:v>12</x:v>
      </x:c>
      <x:c r="D18" s="64"/>
      <x:c r="E18" s="64"/>
      <x:c r="F18" s="64"/>
      <x:c r="G18" s="64"/>
      <x:c r="H18" s="64"/>
      <x:c r="I18" s="65"/>
    </x:row>
    <x:row r="19" ht="33.75" customHeight="1">
      <x:c r="B19" s="46" t="n">
        <x:f t="shared" ref="B19:B22" si="0">B18+1</x:f>
        <x:v>3</x:v>
      </x:c>
      <x:c r="C19" s="63" t="s">
        <x:v>13</x:v>
      </x:c>
      <x:c r="D19" s="64"/>
      <x:c r="E19" s="64"/>
      <x:c r="F19" s="64"/>
      <x:c r="G19" s="64"/>
      <x:c r="H19" s="64"/>
      <x:c r="I19" s="65"/>
    </x:row>
    <x:row r="20" ht="33.75" customHeight="1">
      <x:c r="B20" s="46">
        <x:f t="shared" si="0"/>
        <x:v>4</x:v>
      </x:c>
      <x:c r="C20" s="63" t="s">
        <x:v>14</x:v>
      </x:c>
      <x:c r="D20" s="64"/>
      <x:c r="E20" s="64"/>
      <x:c r="F20" s="64"/>
      <x:c r="G20" s="64"/>
      <x:c r="H20" s="64"/>
      <x:c r="I20" s="65"/>
    </x:row>
    <x:row r="21" ht="33.75" customHeight="1">
      <x:c r="B21" s="46">
        <x:f t="shared" si="0"/>
        <x:v>5</x:v>
      </x:c>
      <x:c r="C21" s="63" t="s">
        <x:v>15</x:v>
      </x:c>
      <x:c r="D21" s="64"/>
      <x:c r="E21" s="64"/>
      <x:c r="F21" s="64"/>
      <x:c r="G21" s="64"/>
      <x:c r="H21" s="64"/>
      <x:c r="I21" s="65"/>
    </x:row>
    <x:row r="22" ht="33.75" customHeight="1">
      <x:c r="B22" s="46">
        <x:f t="shared" si="0"/>
        <x:v>6</x:v>
      </x:c>
      <x:c r="C22" s="63" t="s">
        <x:v>16</x:v>
      </x:c>
      <x:c r="D22" s="64"/>
      <x:c r="E22" s="64"/>
      <x:c r="F22" s="64"/>
      <x:c r="G22" s="64"/>
      <x:c r="H22" s="64"/>
      <x:c r="I22" s="65"/>
    </x:row>
    <x:row r="23" ht="13.5" customHeight="1">
      <x:c r="B23" s="52"/>
      <x:c r="C23" s="52"/>
      <x:c r="D23" s="52"/>
      <x:c r="E23" s="52"/>
      <x:c r="F23" s="52"/>
      <x:c r="G23" s="52"/>
      <x:c r="H23" s="52"/>
      <x:c r="I23" s="52"/>
    </x:row>
    <x:row r="24" ht="13.5" customHeight="1">
      <x:c r="B24" s="66" t="s">
        <x:v>17</x:v>
      </x:c>
      <x:c r="C24" s="67"/>
      <x:c r="D24" s="67"/>
      <x:c r="E24" s="67"/>
      <x:c r="F24" s="67"/>
      <x:c r="G24" s="67"/>
      <x:c r="H24" s="67"/>
      <x:c r="I24" s="68"/>
    </x:row>
    <x:row r="25" ht="26">
      <x:c r="B25" s="45" t="s">
        <x:v>18</x:v>
      </x:c>
      <x:c r="C25" s="45" t="s">
        <x:v>19</x:v>
      </x:c>
      <x:c r="D25" s="45" t="s">
        <x:v>20</x:v>
      </x:c>
      <x:c r="E25" s="45" t="s">
        <x:v>21</x:v>
      </x:c>
      <x:c r="F25" s="45" t="s">
        <x:v>22</x:v>
      </x:c>
      <x:c r="G25" s="45" t="s">
        <x:v>23</x:v>
      </x:c>
      <x:c r="H25" s="45" t="s">
        <x:v>24</x:v>
      </x:c>
      <x:c r="I25" s="45" t="s">
        <x:v>25</x:v>
      </x:c>
    </x:row>
    <x:row r="26" ht="13.5" customHeight="1">
      <x:c r="B26" s="2" t="s">
        <x:v>24</x:v>
      </x:c>
      <x:c r="C26" s="2" t="s">
        <x:v>26</x:v>
      </x:c>
      <x:c r="D26" s="2" t="s">
        <x:v>27</x:v>
      </x:c>
      <x:c r="E26" s="2" t="s">
        <x:v>28</x:v>
      </x:c>
      <x:c r="F26" s="2" t="s">
        <x:v>29</x:v>
      </x:c>
      <x:c r="G26" s="2" t="s">
        <x:v>30</x:v>
      </x:c>
      <x:c r="H26" s="2" t="s">
        <x:v>31</x:v>
      </x:c>
      <x:c r="I26" s="2" t="s">
        <x:v>32</x:v>
      </x:c>
    </x:row>
    <x:row r="27" ht="13.5" customHeight="1">
      <x:c r="B27" s="2" t="s">
        <x:v>33</x:v>
      </x:c>
      <x:c r="C27" s="2" t="s">
        <x:v>34</x:v>
      </x:c>
      <x:c r="D27" s="2" t="s">
        <x:v>35</x:v>
      </x:c>
      <x:c r="E27" s="2" t="s">
        <x:v>36</x:v>
      </x:c>
      <x:c r="F27" s="2" t="s">
        <x:v>37</x:v>
      </x:c>
      <x:c r="G27" s="2" t="s">
        <x:v>38</x:v>
      </x:c>
      <x:c r="H27" s="2" t="s">
        <x:v>39</x:v>
      </x:c>
      <x:c r="I27" s="2" t="s">
        <x:v>40</x:v>
      </x:c>
    </x:row>
    <x:row r="28" ht="13.5" customHeight="1">
      <x:c r="B28" s="2" t="s">
        <x:v>41</x:v>
      </x:c>
      <x:c r="C28" s="2" t="s">
        <x:v>42</x:v>
      </x:c>
      <x:c r="D28" s="2" t="s">
        <x:v>43</x:v>
      </x:c>
      <x:c r="E28" s="2" t="s">
        <x:v>44</x:v>
      </x:c>
      <x:c r="F28" s="2" t="s">
        <x:v>45</x:v>
      </x:c>
      <x:c r="G28" s="2" t="s">
        <x:v>46</x:v>
      </x:c>
      <x:c r="H28" s="2" t="s">
        <x:v>47</x:v>
      </x:c>
      <x:c r="I28" s="2" t="s">
        <x:v>48</x:v>
      </x:c>
    </x:row>
    <x:row r="29" ht="13.5" customHeight="1">
      <x:c r="B29" s="2" t="s">
        <x:v>49</x:v>
      </x:c>
      <x:c r="C29" s="2" t="s">
        <x:v>50</x:v>
      </x:c>
      <x:c r="D29" s="2" t="s">
        <x:v>49</x:v>
      </x:c>
      <x:c r="E29" s="2" t="s">
        <x:v>51</x:v>
      </x:c>
      <x:c r="F29" s="2" t="s">
        <x:v>49</x:v>
      </x:c>
      <x:c r="G29" s="2" t="s">
        <x:v>52</x:v>
      </x:c>
      <x:c r="H29" s="2" t="s">
        <x:v>53</x:v>
      </x:c>
      <x:c r="I29" s="2" t="s">
        <x:v>54</x:v>
      </x:c>
    </x:row>
    <x:row r="30" ht="13.5" customHeight="1">
      <x:c r="B30" s="2" t="s">
        <x:v>55</x:v>
      </x:c>
      <x:c r="C30" s="2" t="s">
        <x:v>56</x:v>
      </x:c>
      <x:c r="D30" s="2" t="s">
        <x:v>57</x:v>
      </x:c>
      <x:c r="E30" s="2" t="s">
        <x:v>58</x:v>
      </x:c>
      <x:c r="F30" s="2" t="s">
        <x:v>59</x:v>
      </x:c>
      <x:c r="G30" s="2" t="s">
        <x:v>60</x:v>
      </x:c>
      <x:c r="H30" s="2" t="s">
        <x:v>61</x:v>
      </x:c>
      <x:c r="I30" s="2" t="s">
        <x:v>62</x:v>
      </x:c>
    </x:row>
    <x:row r="31" ht="13.5" customHeight="1">
      <x:c r="B31" s="52"/>
      <x:c r="C31" s="52"/>
      <x:c r="D31" s="52"/>
      <x:c r="E31" s="52"/>
      <x:c r="F31" s="52"/>
      <x:c r="G31" s="52"/>
      <x:c r="H31" s="52"/>
      <x:c r="I31" s="52"/>
    </x:row>
    <x:row r="32" ht="13.5" customHeight="1"/>
    <x:row r="33" s="51" customFormat="1" ht="13.5" customHeight="1"/>
    <x:row r="34" s="51" customFormat="1" ht="13.5" customHeight="1"/>
    <x:row r="35" s="51" customFormat="1" ht="13.5" customHeight="1"/>
    <x:row r="36" s="51" customFormat="1" ht="13.5" customHeight="1"/>
    <x:row r="37" s="51" customFormat="1" ht="13.5" customHeight="1"/>
    <x:row r="38" s="51" customFormat="1" ht="13.5" customHeight="1"/>
    <x:row r="39" s="51" customFormat="1" ht="13.5" customHeight="1"/>
    <x:row r="40" s="51" customFormat="1" ht="13.5" customHeight="1"/>
    <x:row r="41" s="51" customFormat="1" ht="13.5" customHeight="1"/>
    <x:row r="42" s="51" customFormat="1" ht="13.5" customHeight="1"/>
    <x:row r="43" s="51" customFormat="1" ht="13.5" customHeight="1"/>
    <x:row r="44" s="51" customFormat="1" ht="13.5" customHeight="1"/>
    <x:row r="45" s="51" customFormat="1" ht="13.5" customHeight="1"/>
    <x:row r="46" s="51" customFormat="1" ht="13.5" customHeight="1"/>
    <x:row r="47" s="51" customFormat="1" ht="13.5" customHeight="1"/>
    <x:row r="48" s="51" customFormat="1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</x:sheetData>
  <x:mergeCells>
    <x:mergeCell ref="C21:I21"/>
    <x:mergeCell ref="C22:I22"/>
    <x:mergeCell ref="B24:I24"/>
    <x:mergeCell ref="B2:I3"/>
    <x:mergeCell ref="B4:I4"/>
    <x:mergeCell ref="B16:I16"/>
    <x:mergeCell ref="C17:I17"/>
    <x:mergeCell ref="C18:I18"/>
    <x:mergeCell ref="C19:I19"/>
    <x:mergeCell ref="C20:I20"/>
  </x:mergeCells>
  <x:conditionalFormatting sqref="C13:C13">
    <x:cfRule type="containsText" dxfId="15" priority="1" operator="containsText" text="PASS">
      <x:formula>NOT(ISERROR(SEARCH(("PASS"),(C13))))</x:formula>
    </x:cfRule>
    <x:cfRule type="containsText" dxfId="14" priority="2" operator="containsText" text="FAIL">
      <x:formula>NOT(ISERROR(SEARCH(("FAIL"),(C13))))</x:formula>
    </x:cfRule>
    <x:cfRule type="containsText" dxfId="13" priority="3" operator="containsText" text="WATCH">
      <x:formula>NOT(ISERROR(SEARCH(("WATCH"),(C13))))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42" style="51" customWidth="1"/>
    <x:col min="3" max="6" width="13" style="51" customWidth="1"/>
    <x:col min="7" max="7" width="16" style="51" customWidth="1"/>
    <x:col min="8" max="8" width="44" style="51" customWidth="1"/>
    <x:col min="9" max="27" width="8.83203125" style="51" customWidth="1"/>
    <x:col min="28" max="16384" width="12.6640625" style="51" customWidth="0"/>
  </x:cols>
  <x:sheetData>
    <x:row r="2" ht="13.5" customHeight="1">
      <x:c r="B2" s="57" t="s">
        <x:v>63</x:v>
      </x:c>
      <x:c r="C2" s="58"/>
      <x:c r="D2" s="58"/>
      <x:c r="E2" s="58"/>
      <x:c r="F2" s="58"/>
      <x:c r="G2" s="58"/>
      <x:c r="H2" s="59"/>
    </x:row>
    <x:row r="3" ht="13.5" customHeight="1">
      <x:c r="B3" s="60"/>
      <x:c r="C3" s="61"/>
      <x:c r="D3" s="61"/>
      <x:c r="E3" s="61"/>
      <x:c r="F3" s="61"/>
      <x:c r="G3" s="61"/>
      <x:c r="H3" s="62"/>
    </x:row>
    <x:row r="4" ht="13.5" customHeight="1">
      <x:c r="B4" s="52"/>
      <x:c r="C4" s="52"/>
      <x:c r="D4" s="52"/>
      <x:c r="E4" s="52"/>
      <x:c r="F4" s="52"/>
      <x:c r="G4" s="52"/>
      <x:c r="H4" s="52"/>
    </x:row>
    <x:row r="5" ht="13.5" customHeight="1">
      <x:c r="B5" s="53" t="s">
        <x:v>64</x:v>
      </x:c>
      <x:c r="C5" s="70" t="s">
        <x:v>65</x:v>
      </x:c>
      <x:c r="D5" s="71"/>
      <x:c r="E5" s="71"/>
      <x:c r="F5" s="71"/>
      <x:c r="G5" s="72"/>
      <x:c r="H5" s="52" t="s">
        <x:v>66</x:v>
      </x:c>
    </x:row>
    <x:row r="6" ht="13.5" customHeight="1">
      <x:c r="B6" s="52"/>
      <x:c r="C6" s="52"/>
      <x:c r="D6" s="52"/>
      <x:c r="E6" s="52"/>
      <x:c r="F6" s="52"/>
      <x:c r="G6" s="52"/>
      <x:c r="H6" s="52"/>
    </x:row>
    <x:row r="7" ht="13.5" customHeight="1">
      <x:c r="B7" s="3" t="s">
        <x:v>67</x:v>
      </x:c>
      <x:c r="C7" s="3" t="s">
        <x:v>65</x:v>
      </x:c>
      <x:c r="D7" s="3" t="s">
        <x:v>68</x:v>
      </x:c>
      <x:c r="E7" s="3" t="s">
        <x:v>69</x:v>
      </x:c>
      <x:c r="F7" s="3" t="s">
        <x:v>70</x:v>
      </x:c>
      <x:c r="G7" s="3" t="s">
        <x:v>3</x:v>
      </x:c>
      <x:c r="H7" s="3" t="s">
        <x:v>71</x:v>
      </x:c>
    </x:row>
    <x:row r="8" ht="13.5" customHeight="1">
      <x:c r="B8" s="2" t="s">
        <x:v>72</x:v>
      </x:c>
      <x:c r="C8" s="4">
        <x:v>100</x:v>
      </x:c>
      <x:c r="D8" s="4">
        <x:v>100</x:v>
      </x:c>
      <x:c r="E8" s="4">
        <x:v>100</x:v>
      </x:c>
      <x:c r="F8" s="5" t="n">
        <x:f t="shared" ref="F8:F61" si="0">IF($C$5="Base",C8,IF($C$5="Growth",D8,E8))</x:f>
        <x:v>100</x:v>
      </x:c>
      <x:c r="G8" s="2" t="s">
        <x:v>73</x:v>
      </x:c>
      <x:c r="H8" s="2" t="s">
        <x:v>74</x:v>
      </x:c>
    </x:row>
    <x:row r="9" ht="13.5" customHeight="1">
      <x:c r="B9" s="2" t="s">
        <x:v>75</x:v>
      </x:c>
      <x:c r="C9" s="6">
        <x:v>7200</x:v>
      </x:c>
      <x:c r="D9" s="6">
        <x:v>7200</x:v>
      </x:c>
      <x:c r="E9" s="6">
        <x:v>7200</x:v>
      </x:c>
      <x:c r="F9" s="7">
        <x:f t="shared" si="0"/>
        <x:v>7200</x:v>
      </x:c>
      <x:c r="G9" s="2" t="s">
        <x:v>76</x:v>
      </x:c>
      <x:c r="H9" s="2" t="s">
        <x:v>77</x:v>
      </x:c>
    </x:row>
    <x:row r="10" ht="13.5" customHeight="1">
      <x:c r="B10" s="2" t="s">
        <x:v>78</x:v>
      </x:c>
      <x:c r="C10" s="8">
        <x:v>8</x:v>
      </x:c>
      <x:c r="D10" s="8">
        <x:v>9</x:v>
      </x:c>
      <x:c r="E10" s="8">
        <x:v>7</x:v>
      </x:c>
      <x:c r="F10" s="9">
        <x:f t="shared" si="0"/>
        <x:v>8</x:v>
      </x:c>
      <x:c r="G10" s="2" t="s">
        <x:v>79</x:v>
      </x:c>
      <x:c r="H10" s="2" t="s">
        <x:v>80</x:v>
      </x:c>
    </x:row>
    <x:row r="11" ht="13.5" customHeight="1">
      <x:c r="B11" s="2" t="s">
        <x:v>81</x:v>
      </x:c>
      <x:c r="C11" s="8">
        <x:v>1</x:v>
      </x:c>
      <x:c r="D11" s="8">
        <x:v>1.25</x:v>
      </x:c>
      <x:c r="E11" s="8">
        <x:v>0.5</x:v>
      </x:c>
      <x:c r="F11" s="9">
        <x:f t="shared" si="0"/>
        <x:v>1</x:v>
      </x:c>
      <x:c r="G11" s="2" t="s">
        <x:v>79</x:v>
      </x:c>
      <x:c r="H11" s="2" t="s">
        <x:v>82</x:v>
      </x:c>
    </x:row>
    <x:row r="12" ht="13.5" customHeight="1">
      <x:c r="B12" s="2" t="s">
        <x:v>83</x:v>
      </x:c>
      <x:c r="C12" s="6">
        <x:v>55</x:v>
      </x:c>
      <x:c r="D12" s="6">
        <x:v>60</x:v>
      </x:c>
      <x:c r="E12" s="6">
        <x:v>48</x:v>
      </x:c>
      <x:c r="F12" s="7">
        <x:f t="shared" si="0"/>
        <x:v>55</x:v>
      </x:c>
      <x:c r="G12" s="2" t="s">
        <x:v>84</x:v>
      </x:c>
      <x:c r="H12" s="2" t="s">
        <x:v>85</x:v>
      </x:c>
    </x:row>
    <x:row r="13" ht="13.5" customHeight="1">
      <x:c r="B13" s="2" t="s">
        <x:v>86</x:v>
      </x:c>
      <x:c r="C13" s="6">
        <x:v>66</x:v>
      </x:c>
      <x:c r="D13" s="6">
        <x:v>68</x:v>
      </x:c>
      <x:c r="E13" s="6">
        <x:v>62</x:v>
      </x:c>
      <x:c r="F13" s="7">
        <x:f t="shared" si="0"/>
        <x:v>66</x:v>
      </x:c>
      <x:c r="G13" s="2" t="s">
        <x:v>76</x:v>
      </x:c>
      <x:c r="H13" s="2" t="s">
        <x:v>87</x:v>
      </x:c>
    </x:row>
    <x:row r="14" ht="13.5" customHeight="1">
      <x:c r="B14" s="2" t="s">
        <x:v>88</x:v>
      </x:c>
      <x:c r="C14" s="10">
        <x:v>1</x:v>
      </x:c>
      <x:c r="D14" s="10">
        <x:v>1</x:v>
      </x:c>
      <x:c r="E14" s="10">
        <x:v>2</x:v>
      </x:c>
      <x:c r="F14" s="11">
        <x:f t="shared" si="0"/>
        <x:v>1</x:v>
      </x:c>
      <x:c r="G14" s="2" t="s">
        <x:v>89</x:v>
      </x:c>
      <x:c r="H14" s="2" t="s">
        <x:v>90</x:v>
      </x:c>
    </x:row>
    <x:row r="15" ht="13.5" customHeight="1">
      <x:c r="B15" s="2" t="s">
        <x:v>91</x:v>
      </x:c>
      <x:c r="C15" s="12">
        <x:v>0.99</x:v>
      </x:c>
      <x:c r="D15" s="12">
        <x:v>0.99299999999999999</x:v>
      </x:c>
      <x:c r="E15" s="12">
        <x:v>0.98499999999999999</x:v>
      </x:c>
      <x:c r="F15" s="13">
        <x:f t="shared" si="0"/>
        <x:v>0.99</x:v>
      </x:c>
      <x:c r="G15" s="2" t="s">
        <x:v>92</x:v>
      </x:c>
      <x:c r="H15" s="2" t="s">
        <x:v>93</x:v>
      </x:c>
    </x:row>
    <x:row r="16" ht="13.5" customHeight="1">
      <x:c r="B16" s="2" t="s">
        <x:v>94</x:v>
      </x:c>
      <x:c r="C16" s="12">
        <x:v>0.98799999999999999</x:v>
      </x:c>
      <x:c r="D16" s="12">
        <x:v>0.99099999999999999</x:v>
      </x:c>
      <x:c r="E16" s="12">
        <x:v>0.98</x:v>
      </x:c>
      <x:c r="F16" s="13">
        <x:f t="shared" si="0"/>
        <x:v>0.98799999999999999</x:v>
      </x:c>
      <x:c r="G16" s="2" t="s">
        <x:v>92</x:v>
      </x:c>
      <x:c r="H16" s="2" t="s">
        <x:v>95</x:v>
      </x:c>
    </x:row>
    <x:row r="17" ht="13.5" customHeight="1">
      <x:c r="B17" s="2" t="s">
        <x:v>96</x:v>
      </x:c>
      <x:c r="C17" s="12">
        <x:v>0.01</x:v>
      </x:c>
      <x:c r="D17" s="12">
        <x:v>1.4E-2</x:v>
      </x:c>
      <x:c r="E17" s="12">
        <x:v>3.0000000000000001E-3</x:v>
      </x:c>
      <x:c r="F17" s="13">
        <x:f t="shared" si="0"/>
        <x:v>0.01</x:v>
      </x:c>
      <x:c r="G17" s="2" t="s">
        <x:v>92</x:v>
      </x:c>
      <x:c r="H17" s="2" t="s">
        <x:v>97</x:v>
      </x:c>
    </x:row>
    <x:row r="18" ht="13.5" customHeight="1">
      <x:c r="B18" s="2" t="s">
        <x:v>98</x:v>
      </x:c>
      <x:c r="C18" s="12">
        <x:v>2.5000000000000001E-3</x:v>
      </x:c>
      <x:c r="D18" s="12">
        <x:v>3.0000000000000001E-3</x:v>
      </x:c>
      <x:c r="E18" s="12">
        <x:v>1E-3</x:v>
      </x:c>
      <x:c r="F18" s="13">
        <x:f t="shared" si="0"/>
        <x:v>2.5000000000000001E-3</x:v>
      </x:c>
      <x:c r="G18" s="2" t="s">
        <x:v>92</x:v>
      </x:c>
      <x:c r="H18" s="2" t="s">
        <x:v>99</x:v>
      </x:c>
    </x:row>
    <x:row r="19" ht="13.5" customHeight="1">
      <x:c r="B19" s="2" t="s">
        <x:v>100</x:v>
      </x:c>
      <x:c r="C19" s="14">
        <x:v>4</x:v>
      </x:c>
      <x:c r="D19" s="14">
        <x:v>4.2</x:v>
      </x:c>
      <x:c r="E19" s="14">
        <x:v>3.5</x:v>
      </x:c>
      <x:c r="F19" s="15">
        <x:f t="shared" si="0"/>
        <x:v>4</x:v>
      </x:c>
      <x:c r="G19" s="2" t="s">
        <x:v>76</x:v>
      </x:c>
      <x:c r="H19" s="2" t="s">
        <x:v>101</x:v>
      </x:c>
    </x:row>
    <x:row r="20" ht="13.5" customHeight="1">
      <x:c r="B20" s="2" t="s">
        <x:v>102</x:v>
      </x:c>
      <x:c r="C20" s="12">
        <x:v>0.18</x:v>
      </x:c>
      <x:c r="D20" s="12">
        <x:v>0.17499999999999999</x:v>
      </x:c>
      <x:c r="E20" s="12">
        <x:v>0.2</x:v>
      </x:c>
      <x:c r="F20" s="13">
        <x:f t="shared" si="0"/>
        <x:v>0.18</x:v>
      </x:c>
      <x:c r="G20" s="2" t="s">
        <x:v>103</x:v>
      </x:c>
      <x:c r="H20" s="2" t="s">
        <x:v>104</x:v>
      </x:c>
    </x:row>
    <x:row r="21" ht="13.5" customHeight="1">
      <x:c r="B21" s="2" t="s">
        <x:v>105</x:v>
      </x:c>
      <x:c r="C21" s="12">
        <x:v>0.45</x:v>
      </x:c>
      <x:c r="D21" s="12">
        <x:v>0.43</x:v>
      </x:c>
      <x:c r="E21" s="12">
        <x:v>0.5</x:v>
      </x:c>
      <x:c r="F21" s="13">
        <x:f t="shared" si="0"/>
        <x:v>0.45</x:v>
      </x:c>
      <x:c r="G21" s="2" t="s">
        <x:v>103</x:v>
      </x:c>
      <x:c r="H21" s="2" t="s">
        <x:v>106</x:v>
      </x:c>
    </x:row>
    <x:row r="22" ht="13.5" customHeight="1">
      <x:c r="B22" s="2" t="s">
        <x:v>107</x:v>
      </x:c>
      <x:c r="C22" s="8">
        <x:v>18</x:v>
      </x:c>
      <x:c r="D22" s="8">
        <x:v>19</x:v>
      </x:c>
      <x:c r="E22" s="8">
        <x:v>17</x:v>
      </x:c>
      <x:c r="F22" s="9">
        <x:f t="shared" si="0"/>
        <x:v>18</x:v>
      </x:c>
      <x:c r="G22" s="2" t="s">
        <x:v>79</x:v>
      </x:c>
      <x:c r="H22" s="2" t="s">
        <x:v>108</x:v>
      </x:c>
    </x:row>
    <x:row r="23" ht="13.5" customHeight="1">
      <x:c r="B23" s="2" t="s">
        <x:v>109</x:v>
      </x:c>
      <x:c r="C23" s="8">
        <x:v>1</x:v>
      </x:c>
      <x:c r="D23" s="8">
        <x:v>1.25</x:v>
      </x:c>
      <x:c r="E23" s="8">
        <x:v>0.5</x:v>
      </x:c>
      <x:c r="F23" s="9">
        <x:f t="shared" si="0"/>
        <x:v>1</x:v>
      </x:c>
      <x:c r="G23" s="2" t="s">
        <x:v>79</x:v>
      </x:c>
      <x:c r="H23" s="2" t="s">
        <x:v>110</x:v>
      </x:c>
    </x:row>
    <x:row r="24" ht="13.5" customHeight="1">
      <x:c r="B24" s="2" t="s">
        <x:v>111</x:v>
      </x:c>
      <x:c r="C24" s="8">
        <x:v>10</x:v>
      </x:c>
      <x:c r="D24" s="8">
        <x:v>11</x:v>
      </x:c>
      <x:c r="E24" s="8">
        <x:v>9</x:v>
      </x:c>
      <x:c r="F24" s="9">
        <x:f t="shared" si="0"/>
        <x:v>10</x:v>
      </x:c>
      <x:c r="G24" s="2" t="s">
        <x:v>79</x:v>
      </x:c>
      <x:c r="H24" s="2" t="s">
        <x:v>108</x:v>
      </x:c>
    </x:row>
    <x:row r="25" ht="13.5" customHeight="1">
      <x:c r="B25" s="2" t="s">
        <x:v>112</x:v>
      </x:c>
      <x:c r="C25" s="8">
        <x:v>0.5</x:v>
      </x:c>
      <x:c r="D25" s="8">
        <x:v>0.75</x:v>
      </x:c>
      <x:c r="E25" s="8">
        <x:v>0.25</x:v>
      </x:c>
      <x:c r="F25" s="9">
        <x:f t="shared" si="0"/>
        <x:v>0.5</x:v>
      </x:c>
      <x:c r="G25" s="2" t="s">
        <x:v>79</x:v>
      </x:c>
      <x:c r="H25" s="2" t="s">
        <x:v>110</x:v>
      </x:c>
    </x:row>
    <x:row r="26" ht="13.5" customHeight="1">
      <x:c r="B26" s="2" t="s">
        <x:v>113</x:v>
      </x:c>
      <x:c r="C26" s="8">
        <x:v>8</x:v>
      </x:c>
      <x:c r="D26" s="8">
        <x:v>8</x:v>
      </x:c>
      <x:c r="E26" s="8">
        <x:v>8</x:v>
      </x:c>
      <x:c r="F26" s="9">
        <x:f t="shared" si="0"/>
        <x:v>8</x:v>
      </x:c>
      <x:c r="G26" s="2" t="s">
        <x:v>79</x:v>
      </x:c>
      <x:c r="H26" s="2" t="s">
        <x:v>108</x:v>
      </x:c>
    </x:row>
    <x:row r="27" ht="13.5" customHeight="1">
      <x:c r="B27" s="2" t="s">
        <x:v>114</x:v>
      </x:c>
      <x:c r="C27" s="8">
        <x:v>0.25</x:v>
      </x:c>
      <x:c r="D27" s="8">
        <x:v>0.5</x:v>
      </x:c>
      <x:c r="E27" s="8">
        <x:v>0</x:v>
      </x:c>
      <x:c r="F27" s="9">
        <x:f t="shared" si="0"/>
        <x:v>0.25</x:v>
      </x:c>
      <x:c r="G27" s="2" t="s">
        <x:v>79</x:v>
      </x:c>
      <x:c r="H27" s="2" t="s">
        <x:v>110</x:v>
      </x:c>
    </x:row>
    <x:row r="28" ht="13.5" customHeight="1">
      <x:c r="B28" s="2" t="s">
        <x:v>115</x:v>
      </x:c>
      <x:c r="C28" s="8">
        <x:v>12</x:v>
      </x:c>
      <x:c r="D28" s="8">
        <x:v>13</x:v>
      </x:c>
      <x:c r="E28" s="8">
        <x:v>11</x:v>
      </x:c>
      <x:c r="F28" s="9">
        <x:f t="shared" si="0"/>
        <x:v>12</x:v>
      </x:c>
      <x:c r="G28" s="2" t="s">
        <x:v>79</x:v>
      </x:c>
      <x:c r="H28" s="2" t="s">
        <x:v>108</x:v>
      </x:c>
    </x:row>
    <x:row r="29" ht="13.5" customHeight="1">
      <x:c r="B29" s="2" t="s">
        <x:v>116</x:v>
      </x:c>
      <x:c r="C29" s="8">
        <x:v>0.5</x:v>
      </x:c>
      <x:c r="D29" s="8">
        <x:v>0.75</x:v>
      </x:c>
      <x:c r="E29" s="8">
        <x:v>0.25</x:v>
      </x:c>
      <x:c r="F29" s="9">
        <x:f t="shared" si="0"/>
        <x:v>0.5</x:v>
      </x:c>
      <x:c r="G29" s="2" t="s">
        <x:v>79</x:v>
      </x:c>
      <x:c r="H29" s="2" t="s">
        <x:v>110</x:v>
      </x:c>
    </x:row>
    <x:row r="30" ht="13.5" customHeight="1">
      <x:c r="B30" s="2" t="s">
        <x:v>117</x:v>
      </x:c>
      <x:c r="C30" s="12">
        <x:v>6.0000000000000001E-3</x:v>
      </x:c>
      <x:c r="D30" s="12">
        <x:v>5.0000000000000001E-3</x:v>
      </x:c>
      <x:c r="E30" s="12">
        <x:v>8.9999999999999993E-3</x:v>
      </x:c>
      <x:c r="F30" s="13">
        <x:f t="shared" si="0"/>
        <x:v>6.0000000000000001E-3</x:v>
      </x:c>
      <x:c r="G30" s="2" t="s">
        <x:v>92</x:v>
      </x:c>
      <x:c r="H30" s="2" t="s">
        <x:v>118</x:v>
      </x:c>
    </x:row>
    <x:row r="31" ht="13.5" customHeight="1">
      <x:c r="B31" s="2" t="s">
        <x:v>119</x:v>
      </x:c>
      <x:c r="C31" s="6">
        <x:v>140</x:v>
      </x:c>
      <x:c r="D31" s="6">
        <x:v>140</x:v>
      </x:c>
      <x:c r="E31" s="6">
        <x:v>140</x:v>
      </x:c>
      <x:c r="F31" s="7">
        <x:f t="shared" si="0"/>
        <x:v>140</x:v>
      </x:c>
      <x:c r="G31" s="2" t="s">
        <x:v>76</x:v>
      </x:c>
      <x:c r="H31" s="2" t="s">
        <x:v>120</x:v>
      </x:c>
    </x:row>
    <x:row r="32" ht="13.5" customHeight="1">
      <x:c r="B32" s="2" t="s">
        <x:v>121</x:v>
      </x:c>
      <x:c r="C32" s="6">
        <x:v>165</x:v>
      </x:c>
      <x:c r="D32" s="6">
        <x:v>165</x:v>
      </x:c>
      <x:c r="E32" s="6">
        <x:v>165</x:v>
      </x:c>
      <x:c r="F32" s="7">
        <x:f t="shared" si="0"/>
        <x:v>165</x:v>
      </x:c>
      <x:c r="G32" s="2" t="s">
        <x:v>76</x:v>
      </x:c>
      <x:c r="H32" s="2" t="s">
        <x:v>120</x:v>
      </x:c>
    </x:row>
    <x:row r="33" ht="13.5" customHeight="1">
      <x:c r="B33" s="2" t="s">
        <x:v>122</x:v>
      </x:c>
      <x:c r="C33" s="6">
        <x:v>145</x:v>
      </x:c>
      <x:c r="D33" s="6">
        <x:v>145</x:v>
      </x:c>
      <x:c r="E33" s="6">
        <x:v>145</x:v>
      </x:c>
      <x:c r="F33" s="7">
        <x:f t="shared" si="0"/>
        <x:v>145</x:v>
      </x:c>
      <x:c r="G33" s="2" t="s">
        <x:v>76</x:v>
      </x:c>
      <x:c r="H33" s="2" t="s">
        <x:v>120</x:v>
      </x:c>
    </x:row>
    <x:row r="34" ht="13.5" customHeight="1">
      <x:c r="B34" s="2" t="s">
        <x:v>123</x:v>
      </x:c>
      <x:c r="C34" s="6">
        <x:v>155</x:v>
      </x:c>
      <x:c r="D34" s="6">
        <x:v>155</x:v>
      </x:c>
      <x:c r="E34" s="6">
        <x:v>155</x:v>
      </x:c>
      <x:c r="F34" s="7">
        <x:f t="shared" si="0"/>
        <x:v>155</x:v>
      </x:c>
      <x:c r="G34" s="2" t="s">
        <x:v>76</x:v>
      </x:c>
      <x:c r="H34" s="2" t="s">
        <x:v>120</x:v>
      </x:c>
    </x:row>
    <x:row r="35" ht="13.5" customHeight="1">
      <x:c r="B35" s="2" t="s">
        <x:v>124</x:v>
      </x:c>
      <x:c r="C35" s="6">
        <x:v>120</x:v>
      </x:c>
      <x:c r="D35" s="6">
        <x:v>120</x:v>
      </x:c>
      <x:c r="E35" s="6">
        <x:v>120</x:v>
      </x:c>
      <x:c r="F35" s="7">
        <x:f t="shared" si="0"/>
        <x:v>120</x:v>
      </x:c>
      <x:c r="G35" s="2" t="s">
        <x:v>76</x:v>
      </x:c>
      <x:c r="H35" s="2" t="s">
        <x:v>120</x:v>
      </x:c>
    </x:row>
    <x:row r="36" ht="13.5" customHeight="1">
      <x:c r="B36" s="2" t="s">
        <x:v>125</x:v>
      </x:c>
      <x:c r="C36" s="6">
        <x:v>120</x:v>
      </x:c>
      <x:c r="D36" s="6">
        <x:v>135</x:v>
      </x:c>
      <x:c r="E36" s="6">
        <x:v>100</x:v>
      </x:c>
      <x:c r="F36" s="7">
        <x:f t="shared" si="0"/>
        <x:v>120</x:v>
      </x:c>
      <x:c r="G36" s="2" t="s">
        <x:v>76</x:v>
      </x:c>
      <x:c r="H36" s="2" t="s">
        <x:v>126</x:v>
      </x:c>
    </x:row>
    <x:row r="37" ht="13.5" customHeight="1">
      <x:c r="B37" s="2" t="s">
        <x:v>127</x:v>
      </x:c>
      <x:c r="C37" s="6">
        <x:v>160</x:v>
      </x:c>
      <x:c r="D37" s="6">
        <x:v>185</x:v>
      </x:c>
      <x:c r="E37" s="6">
        <x:v>125</x:v>
      </x:c>
      <x:c r="F37" s="7">
        <x:f t="shared" si="0"/>
        <x:v>160</x:v>
      </x:c>
      <x:c r="G37" s="2" t="s">
        <x:v>76</x:v>
      </x:c>
      <x:c r="H37" s="2" t="s">
        <x:v>128</x:v>
      </x:c>
    </x:row>
    <x:row r="38" ht="13.5" customHeight="1">
      <x:c r="B38" s="2" t="s">
        <x:v>129</x:v>
      </x:c>
      <x:c r="C38" s="6">
        <x:v>90</x:v>
      </x:c>
      <x:c r="D38" s="6">
        <x:v>95</x:v>
      </x:c>
      <x:c r="E38" s="6">
        <x:v>80</x:v>
      </x:c>
      <x:c r="F38" s="7">
        <x:f t="shared" si="0"/>
        <x:v>90</x:v>
      </x:c>
      <x:c r="G38" s="2" t="s">
        <x:v>76</x:v>
      </x:c>
      <x:c r="H38" s="2" t="s">
        <x:v>130</x:v>
      </x:c>
    </x:row>
    <x:row r="39" ht="13.5" customHeight="1">
      <x:c r="B39" s="2" t="s">
        <x:v>131</x:v>
      </x:c>
      <x:c r="C39" s="6">
        <x:v>70</x:v>
      </x:c>
      <x:c r="D39" s="6">
        <x:v>78</x:v>
      </x:c>
      <x:c r="E39" s="6">
        <x:v>60</x:v>
      </x:c>
      <x:c r="F39" s="7">
        <x:f t="shared" si="0"/>
        <x:v>70</x:v>
      </x:c>
      <x:c r="G39" s="2" t="s">
        <x:v>76</x:v>
      </x:c>
      <x:c r="H39" s="2" t="s">
        <x:v>132</x:v>
      </x:c>
    </x:row>
    <x:row r="40" ht="13.5" customHeight="1">
      <x:c r="B40" s="2" t="s">
        <x:v>133</x:v>
      </x:c>
      <x:c r="C40" s="16">
        <x:v>45</x:v>
      </x:c>
      <x:c r="D40" s="16">
        <x:v>42</x:v>
      </x:c>
      <x:c r="E40" s="16">
        <x:v>55</x:v>
      </x:c>
      <x:c r="F40" s="17">
        <x:f t="shared" si="0"/>
        <x:v>45</x:v>
      </x:c>
      <x:c r="G40" s="2" t="s">
        <x:v>134</x:v>
      </x:c>
      <x:c r="H40" s="2" t="s">
        <x:v>135</x:v>
      </x:c>
    </x:row>
    <x:row r="41" ht="13.5" customHeight="1">
      <x:c r="B41" s="2" t="s">
        <x:v>136</x:v>
      </x:c>
      <x:c r="C41" s="16">
        <x:v>30</x:v>
      </x:c>
      <x:c r="D41" s="16">
        <x:v>32</x:v>
      </x:c>
      <x:c r="E41" s="16">
        <x:v>25</x:v>
      </x:c>
      <x:c r="F41" s="17">
        <x:f t="shared" si="0"/>
        <x:v>30</x:v>
      </x:c>
      <x:c r="G41" s="2" t="s">
        <x:v>134</x:v>
      </x:c>
      <x:c r="H41" s="2" t="s">
        <x:v>137</x:v>
      </x:c>
    </x:row>
    <x:row r="42" ht="13.5" customHeight="1">
      <x:c r="B42" s="2" t="s">
        <x:v>138</x:v>
      </x:c>
      <x:c r="C42" s="12">
        <x:v>0.1</x:v>
      </x:c>
      <x:c r="D42" s="12">
        <x:v>0.105</x:v>
      </x:c>
      <x:c r="E42" s="12">
        <x:v>0.09</x:v>
      </x:c>
      <x:c r="F42" s="13">
        <x:f t="shared" si="0"/>
        <x:v>0.1</x:v>
      </x:c>
      <x:c r="G42" s="2" t="s">
        <x:v>92</x:v>
      </x:c>
      <x:c r="H42" s="2" t="s">
        <x:v>139</x:v>
      </x:c>
    </x:row>
    <x:row r="43" ht="13.5" customHeight="1">
      <x:c r="B43" s="2" t="s">
        <x:v>140</x:v>
      </x:c>
      <x:c r="C43" s="12">
        <x:v>0.05</x:v>
      </x:c>
      <x:c r="D43" s="12">
        <x:v>5.5E-2</x:v>
      </x:c>
      <x:c r="E43" s="12">
        <x:v>4.4999999999999998E-2</x:v>
      </x:c>
      <x:c r="F43" s="13">
        <x:f t="shared" si="0"/>
        <x:v>0.05</x:v>
      </x:c>
      <x:c r="G43" s="2" t="s">
        <x:v>92</x:v>
      </x:c>
      <x:c r="H43" s="2" t="s">
        <x:v>141</x:v>
      </x:c>
    </x:row>
    <x:row r="44" ht="13.5" customHeight="1">
      <x:c r="B44" s="2" t="s">
        <x:v>142</x:v>
      </x:c>
      <x:c r="C44" s="6">
        <x:v>80</x:v>
      </x:c>
      <x:c r="D44" s="6">
        <x:v>95</x:v>
      </x:c>
      <x:c r="E44" s="6">
        <x:v>55</x:v>
      </x:c>
      <x:c r="F44" s="7">
        <x:f t="shared" si="0"/>
        <x:v>80</x:v>
      </x:c>
      <x:c r="G44" s="2" t="s">
        <x:v>76</x:v>
      </x:c>
      <x:c r="H44" s="2" t="s">
        <x:v>143</x:v>
      </x:c>
    </x:row>
    <x:row r="45" ht="13.5" customHeight="1">
      <x:c r="B45" s="2" t="s">
        <x:v>144</x:v>
      </x:c>
      <x:c r="C45" s="10">
        <x:v>36</x:v>
      </x:c>
      <x:c r="D45" s="10">
        <x:v>36</x:v>
      </x:c>
      <x:c r="E45" s="10">
        <x:v>36</x:v>
      </x:c>
      <x:c r="F45" s="11">
        <x:f t="shared" si="0"/>
        <x:v>36</x:v>
      </x:c>
      <x:c r="G45" s="2" t="s">
        <x:v>89</x:v>
      </x:c>
      <x:c r="H45" s="2" t="s">
        <x:v>145</x:v>
      </x:c>
    </x:row>
    <x:row r="46" ht="13.5" customHeight="1">
      <x:c r="B46" s="2" t="s">
        <x:v>146</x:v>
      </x:c>
      <x:c r="C46" s="6">
        <x:v>50</x:v>
      </x:c>
      <x:c r="D46" s="6">
        <x:v>60</x:v>
      </x:c>
      <x:c r="E46" s="6">
        <x:v>25</x:v>
      </x:c>
      <x:c r="F46" s="7">
        <x:f t="shared" si="0"/>
        <x:v>50</x:v>
      </x:c>
      <x:c r="G46" s="2" t="s">
        <x:v>76</x:v>
      </x:c>
      <x:c r="H46" s="2" t="s">
        <x:v>147</x:v>
      </x:c>
    </x:row>
    <x:row r="47" ht="13.5" customHeight="1">
      <x:c r="B47" s="2" t="s">
        <x:v>148</x:v>
      </x:c>
      <x:c r="C47" s="12">
        <x:v>0.08</x:v>
      </x:c>
      <x:c r="D47" s="12">
        <x:v>7.4999999999999997E-2</x:v>
      </x:c>
      <x:c r="E47" s="12">
        <x:v>0.09</x:v>
      </x:c>
      <x:c r="F47" s="13">
        <x:f t="shared" si="0"/>
        <x:v>0.08</x:v>
      </x:c>
      <x:c r="G47" s="2" t="s">
        <x:v>92</x:v>
      </x:c>
      <x:c r="H47" s="2" t="s">
        <x:v>149</x:v>
      </x:c>
    </x:row>
    <x:row r="48" ht="13.5" customHeight="1">
      <x:c r="B48" s="2" t="s">
        <x:v>150</x:v>
      </x:c>
      <x:c r="C48" s="12">
        <x:v>0.21</x:v>
      </x:c>
      <x:c r="D48" s="12">
        <x:v>0.21</x:v>
      </x:c>
      <x:c r="E48" s="12">
        <x:v>0.21</x:v>
      </x:c>
      <x:c r="F48" s="13">
        <x:f t="shared" si="0"/>
        <x:v>0.21</x:v>
      </x:c>
      <x:c r="G48" s="2" t="s">
        <x:v>92</x:v>
      </x:c>
      <x:c r="H48" s="2" t="s">
        <x:v>151</x:v>
      </x:c>
    </x:row>
    <x:row r="49" ht="13.5" customHeight="1">
      <x:c r="B49" s="2" t="s">
        <x:v>152</x:v>
      </x:c>
      <x:c r="C49" s="6">
        <x:v>0</x:v>
      </x:c>
      <x:c r="D49" s="6">
        <x:v>0</x:v>
      </x:c>
      <x:c r="E49" s="6">
        <x:v>0</x:v>
      </x:c>
      <x:c r="F49" s="7">
        <x:f t="shared" si="0"/>
        <x:v>0</x:v>
      </x:c>
      <x:c r="G49" s="2" t="s">
        <x:v>76</x:v>
      </x:c>
      <x:c r="H49" s="2" t="s">
        <x:v>153</x:v>
      </x:c>
    </x:row>
    <x:row r="50" ht="13.5" customHeight="1">
      <x:c r="B50" s="2" t="s">
        <x:v>154</x:v>
      </x:c>
      <x:c r="C50" s="6">
        <x:v>0</x:v>
      </x:c>
      <x:c r="D50" s="6">
        <x:v>0</x:v>
      </x:c>
      <x:c r="E50" s="6">
        <x:v>0</x:v>
      </x:c>
      <x:c r="F50" s="7">
        <x:f t="shared" si="0"/>
        <x:v>0</x:v>
      </x:c>
      <x:c r="G50" s="2" t="s">
        <x:v>76</x:v>
      </x:c>
      <x:c r="H50" s="2" t="s">
        <x:v>155</x:v>
      </x:c>
    </x:row>
    <x:row r="51" ht="13.5" customHeight="1">
      <x:c r="B51" s="2" t="s">
        <x:v>156</x:v>
      </x:c>
      <x:c r="C51" s="6">
        <x:v>5000</x:v>
      </x:c>
      <x:c r="D51" s="6">
        <x:v>5000</x:v>
      </x:c>
      <x:c r="E51" s="6">
        <x:v>5000</x:v>
      </x:c>
      <x:c r="F51" s="7">
        <x:f t="shared" si="0"/>
        <x:v>5000</x:v>
      </x:c>
      <x:c r="G51" s="2" t="s">
        <x:v>76</x:v>
      </x:c>
      <x:c r="H51" s="2" t="s">
        <x:v>157</x:v>
      </x:c>
    </x:row>
    <x:row r="52" ht="13.5" customHeight="1">
      <x:c r="B52" s="2" t="s">
        <x:v>158</x:v>
      </x:c>
      <x:c r="C52" s="6">
        <x:v>800</x:v>
      </x:c>
      <x:c r="D52" s="6">
        <x:v>800</x:v>
      </x:c>
      <x:c r="E52" s="6">
        <x:v>800</x:v>
      </x:c>
      <x:c r="F52" s="7">
        <x:f t="shared" si="0"/>
        <x:v>800</x:v>
      </x:c>
      <x:c r="G52" s="2" t="s">
        <x:v>76</x:v>
      </x:c>
      <x:c r="H52" s="2" t="s">
        <x:v>157</x:v>
      </x:c>
    </x:row>
    <x:row r="53" ht="13.5" customHeight="1">
      <x:c r="B53" s="2" t="s">
        <x:v>159</x:v>
      </x:c>
      <x:c r="C53" s="6">
        <x:v>120</x:v>
      </x:c>
      <x:c r="D53" s="6">
        <x:v>120</x:v>
      </x:c>
      <x:c r="E53" s="6">
        <x:v>120</x:v>
      </x:c>
      <x:c r="F53" s="7">
        <x:f t="shared" si="0"/>
        <x:v>120</x:v>
      </x:c>
      <x:c r="G53" s="2" t="s">
        <x:v>76</x:v>
      </x:c>
      <x:c r="H53" s="2" t="s">
        <x:v>157</x:v>
      </x:c>
    </x:row>
    <x:row r="54" ht="13.5" customHeight="1">
      <x:c r="B54" s="2" t="s">
        <x:v>160</x:v>
      </x:c>
      <x:c r="C54" s="6">
        <x:v>1200</x:v>
      </x:c>
      <x:c r="D54" s="6">
        <x:v>1200</x:v>
      </x:c>
      <x:c r="E54" s="6">
        <x:v>1200</x:v>
      </x:c>
      <x:c r="F54" s="7">
        <x:f t="shared" si="0"/>
        <x:v>1200</x:v>
      </x:c>
      <x:c r="G54" s="2" t="s">
        <x:v>76</x:v>
      </x:c>
      <x:c r="H54" s="2" t="s">
        <x:v>157</x:v>
      </x:c>
    </x:row>
    <x:row r="55" ht="13.5" customHeight="1">
      <x:c r="B55" s="2" t="s">
        <x:v>161</x:v>
      </x:c>
      <x:c r="C55" s="6">
        <x:v>300</x:v>
      </x:c>
      <x:c r="D55" s="6">
        <x:v>300</x:v>
      </x:c>
      <x:c r="E55" s="6">
        <x:v>300</x:v>
      </x:c>
      <x:c r="F55" s="7">
        <x:f t="shared" si="0"/>
        <x:v>300</x:v>
      </x:c>
      <x:c r="G55" s="2" t="s">
        <x:v>76</x:v>
      </x:c>
      <x:c r="H55" s="2" t="s">
        <x:v>162</x:v>
      </x:c>
    </x:row>
    <x:row r="56" ht="13.5" customHeight="1">
      <x:c r="B56" s="2" t="s">
        <x:v>163</x:v>
      </x:c>
      <x:c r="C56" s="6">
        <x:v>250</x:v>
      </x:c>
      <x:c r="D56" s="6">
        <x:v>250</x:v>
      </x:c>
      <x:c r="E56" s="6">
        <x:v>250</x:v>
      </x:c>
      <x:c r="F56" s="7">
        <x:f t="shared" si="0"/>
        <x:v>250</x:v>
      </x:c>
      <x:c r="G56" s="2" t="s">
        <x:v>76</x:v>
      </x:c>
      <x:c r="H56" s="2" t="s">
        <x:v>157</x:v>
      </x:c>
    </x:row>
    <x:row r="57" ht="13.5" customHeight="1">
      <x:c r="B57" s="2" t="s">
        <x:v>164</x:v>
      </x:c>
      <x:c r="C57" s="6">
        <x:v>200</x:v>
      </x:c>
      <x:c r="D57" s="6">
        <x:v>200</x:v>
      </x:c>
      <x:c r="E57" s="6">
        <x:v>200</x:v>
      </x:c>
      <x:c r="F57" s="7">
        <x:f t="shared" si="0"/>
        <x:v>200</x:v>
      </x:c>
      <x:c r="G57" s="2" t="s">
        <x:v>76</x:v>
      </x:c>
      <x:c r="H57" s="2" t="s">
        <x:v>157</x:v>
      </x:c>
    </x:row>
    <x:row r="58" ht="13.5" customHeight="1">
      <x:c r="B58" s="2" t="s">
        <x:v>165</x:v>
      </x:c>
      <x:c r="C58" s="6">
        <x:v>600</x:v>
      </x:c>
      <x:c r="D58" s="6">
        <x:v>600</x:v>
      </x:c>
      <x:c r="E58" s="6">
        <x:v>600</x:v>
      </x:c>
      <x:c r="F58" s="7">
        <x:f t="shared" si="0"/>
        <x:v>600</x:v>
      </x:c>
      <x:c r="G58" s="2" t="s">
        <x:v>76</x:v>
      </x:c>
      <x:c r="H58" s="2" t="s">
        <x:v>157</x:v>
      </x:c>
    </x:row>
    <x:row r="59" ht="13.5" customHeight="1">
      <x:c r="B59" s="2" t="s">
        <x:v>166</x:v>
      </x:c>
      <x:c r="C59" s="6">
        <x:v>1500</x:v>
      </x:c>
      <x:c r="D59" s="6">
        <x:v>1500</x:v>
      </x:c>
      <x:c r="E59" s="6">
        <x:v>1500</x:v>
      </x:c>
      <x:c r="F59" s="7">
        <x:f t="shared" si="0"/>
        <x:v>1500</x:v>
      </x:c>
      <x:c r="G59" s="2" t="s">
        <x:v>76</x:v>
      </x:c>
      <x:c r="H59" s="2" t="s">
        <x:v>157</x:v>
      </x:c>
    </x:row>
    <x:row r="60" ht="13.5" customHeight="1">
      <x:c r="B60" s="2" t="s">
        <x:v>167</x:v>
      </x:c>
      <x:c r="C60" s="6">
        <x:v>2000</x:v>
      </x:c>
      <x:c r="D60" s="6">
        <x:v>2000</x:v>
      </x:c>
      <x:c r="E60" s="6">
        <x:v>2000</x:v>
      </x:c>
      <x:c r="F60" s="7">
        <x:f t="shared" si="0"/>
        <x:v>2000</x:v>
      </x:c>
      <x:c r="G60" s="2" t="s">
        <x:v>76</x:v>
      </x:c>
      <x:c r="H60" s="2" t="s">
        <x:v>157</x:v>
      </x:c>
    </x:row>
    <x:row r="61" ht="13.5" customHeight="1">
      <x:c r="B61" s="2" t="s">
        <x:v>168</x:v>
      </x:c>
      <x:c r="C61" s="6">
        <x:v>2270</x:v>
      </x:c>
      <x:c r="D61" s="6">
        <x:v>2270</x:v>
      </x:c>
      <x:c r="E61" s="6">
        <x:v>2270</x:v>
      </x:c>
      <x:c r="F61" s="7">
        <x:f t="shared" si="0"/>
        <x:v>2270</x:v>
      </x:c>
      <x:c r="G61" s="2" t="s">
        <x:v>76</x:v>
      </x:c>
      <x:c r="H61" s="2" t="s">
        <x:v>169</x:v>
      </x:c>
    </x:row>
    <x:row r="62" ht="13.5" customHeight="1">
      <x:c r="B62" s="52"/>
      <x:c r="C62" s="52"/>
      <x:c r="D62" s="52"/>
      <x:c r="E62" s="52"/>
      <x:c r="F62" s="52"/>
      <x:c r="G62" s="52"/>
      <x:c r="H62" s="52"/>
    </x:row>
    <x:row r="63" ht="13.5" customHeight="1">
      <x:c r="B63" s="66" t="s">
        <x:v>170</x:v>
      </x:c>
      <x:c r="C63" s="67"/>
      <x:c r="D63" s="67"/>
      <x:c r="E63" s="67"/>
      <x:c r="F63" s="67"/>
      <x:c r="G63" s="67"/>
      <x:c r="H63" s="68"/>
    </x:row>
    <x:row r="64" ht="13.5" customHeight="1">
      <x:c r="B64" s="52" t="s">
        <x:v>171</x:v>
      </x:c>
      <x:c r="C64" s="52"/>
      <x:c r="D64" s="52"/>
      <x:c r="E64" s="52"/>
      <x:c r="F64" s="54" t="n">
        <x:f>F51+F52+F53+(F54-F55)-(F56+F57+F58+F59+F60+F61)</x:f>
        <x:v>0</x:v>
      </x:c>
      <x:c r="G64" s="52" t="s">
        <x:v>76</x:v>
      </x:c>
      <x:c r="H64" s="52" t="s">
        <x:v>172</x:v>
      </x:c>
    </x:row>
    <x:row r="65" ht="13.5" customHeight="1">
      <x:c r="B65" s="52"/>
      <x:c r="C65" s="52"/>
      <x:c r="D65" s="52"/>
      <x:c r="E65" s="52"/>
      <x:c r="F65" s="52"/>
      <x:c r="G65" s="52"/>
      <x:c r="H65" s="52"/>
    </x:row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</x:sheetData>
  <x:mergeCells>
    <x:mergeCell ref="B2:H3"/>
    <x:mergeCell ref="C5:G5"/>
    <x:mergeCell ref="B63:H63"/>
  </x:mergeCells>
  <x:conditionalFormatting sqref="F64:F64">
    <x:cfRule type="cellIs" dxfId="12" priority="1" operator="equal">
      <x:formula>0</x:formula>
    </x:cfRule>
    <x:cfRule type="cellIs" dxfId="11" priority="2" operator="notEqual">
      <x:formula>0</x:formula>
    </x:cfRule>
  </x:conditionalFormatting>
  <x:dataValidations count="1">
    <x:dataValidation type="list" allowBlank="1" sqref="C5">
      <x:formula1>"Base,Growth,Downside"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63238"/>
  </x:sheetPr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" style="51" customWidth="1"/>
    <x:col min="3" max="3" width="12" style="51" customWidth="1"/>
    <x:col min="4" max="4" width="3" style="51" customWidth="1"/>
    <x:col min="5" max="9" width="18" style="51" customWidth="1"/>
    <x:col min="10" max="27" width="8.83203125" style="51" customWidth="1"/>
    <x:col min="28" max="16384" width="12.6640625" style="51" customWidth="0"/>
  </x:cols>
  <x:sheetData>
    <x:row r="2" ht="13.5" customHeight="1"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</x:row>
    <x:row r="3" ht="13.5" customHeight="1">
      <x:c r="B3" s="36"/>
      <x:c r="C3" s="57" t="s">
        <x:v>173</x:v>
      </x:c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9"/>
    </x:row>
    <x:row r="4" ht="13.5" customHeight="1">
      <x:c r="B4" s="36"/>
      <x:c r="C4" s="60"/>
      <x:c r="D4" s="61"/>
      <x:c r="E4" s="61"/>
      <x:c r="F4" s="61"/>
      <x:c r="G4" s="61"/>
      <x:c r="H4" s="61"/>
      <x:c r="I4" s="61"/>
      <x:c r="J4" s="61"/>
      <x:c r="K4" s="61"/>
      <x:c r="L4" s="61"/>
      <x:c r="M4" s="61"/>
      <x:c r="N4" s="61"/>
      <x:c r="O4" s="62"/>
    </x:row>
    <x:row r="5" ht="13.5" customHeight="1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6"/>
    </x:row>
    <x:row r="6" ht="13.5" customHeight="1">
      <x:c r="B6" s="36"/>
      <x:c r="C6" s="37" t="s">
        <x:v>174</x:v>
      </x:c>
      <x:c r="D6" s="36"/>
      <x:c r="E6" s="73" t="s">
        <x:v>175</x:v>
      </x:c>
      <x:c r="F6" s="67"/>
      <x:c r="G6" s="67"/>
      <x:c r="H6" s="67"/>
      <x:c r="I6" s="68"/>
      <x:c r="J6" s="36"/>
      <x:c r="K6" s="36"/>
      <x:c r="L6" s="36"/>
      <x:c r="M6" s="36"/>
      <x:c r="N6" s="36"/>
      <x:c r="O6" s="36"/>
    </x:row>
    <x:row r="7" ht="13.5" customHeight="1"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36"/>
      <x:c r="N7" s="36"/>
      <x:c r="O7" s="36"/>
    </x:row>
    <x:row r="8" ht="13.5" customHeight="1"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  <x:c r="N8" s="36"/>
      <x:c r="O8" s="36"/>
    </x:row>
    <x:row r="9" ht="13.5" customHeight="1"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</x:row>
    <x:row r="10" ht="13.5" customHeight="1"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</x:row>
    <x:row r="11" ht="13.5" customHeight="1"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</x:row>
    <x:row r="12" ht="13.5" customHeight="1"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</x:row>
    <x:row r="13" ht="13.5" customHeight="1"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</x:row>
    <x:row r="14" ht="13.5" customHeight="1"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</x:row>
    <x:row r="15" ht="13.5" customHeight="1"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</x:row>
    <x:row r="16" ht="13.5" customHeight="1"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</x:row>
    <x:row r="17" ht="13.5" customHeight="1"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</x:row>
    <x:row r="18" ht="13.5" customHeight="1"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</x:row>
    <x:row r="19" ht="13.5" customHeight="1"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</x:row>
    <x:row r="20" ht="13.5" customHeight="1"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</x:row>
    <x:row r="21" ht="13.5" customHeight="1"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</x:row>
    <x:row r="22" ht="13.5" customHeight="1"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</x:row>
    <x:row r="23" ht="13.5" customHeight="1"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</x:row>
    <x:row r="24" ht="13.5" customHeight="1"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</x:row>
    <x:row r="25" ht="13.5" customHeight="1"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</x:row>
    <x:row r="26" ht="13.5" customHeight="1"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</x:row>
    <x:row r="27" ht="13.5" customHeight="1"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</x:row>
    <x:row r="28" ht="13.5" customHeight="1"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</x:row>
    <x:row r="29" ht="13.5" customHeight="1"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</x:row>
    <x:row r="30" ht="13.5" customHeight="1"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</x:row>
    <x:row r="31" ht="13.5" customHeight="1"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</x:row>
    <x:row r="32" ht="13.5" customHeight="1"/>
    <x:row r="33" s="51" customFormat="1" ht="13.5" customHeight="1"/>
    <x:row r="34" s="51" customFormat="1" ht="13.5" customHeight="1"/>
    <x:row r="35" s="51" customFormat="1" ht="13.5" customHeight="1"/>
    <x:row r="36" s="51" customFormat="1" ht="13.5" customHeight="1"/>
    <x:row r="37" s="51" customFormat="1" ht="13.5" customHeight="1"/>
    <x:row r="38" s="51" customFormat="1" ht="13.5" customHeight="1"/>
    <x:row r="39" s="51" customFormat="1" ht="13.5" customHeight="1"/>
    <x:row r="40" s="51" customFormat="1" ht="13.5" customHeight="1"/>
    <x:row r="41" s="51" customFormat="1" ht="13.5" customHeight="1"/>
    <x:row r="42" s="51" customFormat="1" ht="13.5" customHeight="1"/>
    <x:row r="43" s="51" customFormat="1" ht="13.5" customHeight="1"/>
    <x:row r="44" s="51" customFormat="1" ht="13.5" customHeight="1"/>
    <x:row r="45" s="51" customFormat="1" ht="13.5" customHeight="1"/>
    <x:row r="46" s="51" customFormat="1" ht="13.5" customHeight="1"/>
    <x:row r="47" s="51" customFormat="1" ht="13.5" customHeight="1"/>
    <x:row r="48" s="51" customFormat="1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  <x:row r="1001" s="51" customFormat="1" ht="13.5" customHeight="1"/>
  </x:sheetData>
  <x:mergeCells>
    <x:mergeCell ref="C3:O4"/>
    <x:mergeCell ref="E6:I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44" style="51" customWidth="1"/>
    <x:col min="3" max="5" width="14" style="51" customWidth="1"/>
    <x:col min="6" max="15" width="12" style="51" customWidth="1"/>
    <x:col min="16" max="27" width="8.83203125" style="51" customWidth="1"/>
    <x:col min="28" max="16384" width="12.6640625" style="51" customWidth="0"/>
  </x:cols>
  <x:sheetData>
    <x:row r="2" ht="13.5" customHeight="1">
      <x:c r="B2" s="57" t="s">
        <x:v>176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2"/>
    </x:row>
    <x:row r="4" ht="13.5" customHeight="1"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</x:row>
    <x:row r="5" ht="13.5" customHeight="1">
      <x:c r="B5" s="1" t="s">
        <x:v>64</x:v>
      </x:c>
      <x:c r="C5" s="39" t="str">
        <x:f>Assumptions!$C$5</x:f>
        <x:v>Base</x:v>
      </x:c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</x:row>
    <x:row r="6" ht="13.5" customHeight="1">
      <x:c r="B6" s="1" t="s">
        <x:v>177</x:v>
      </x:c>
      <x:c r="C6" s="39" t="str">
        <x:f>IF(COUNTIF(O16:O22,"FAIL")=0,"PASS","FAIL")</x:f>
        <x:v>PASS</x:v>
      </x:c>
      <x:c r="D6" s="52"/>
      <x:c r="E6" s="52"/>
      <x:c r="F6" s="52"/>
      <x:c r="G6" s="52"/>
      <x:c r="H6" s="52"/>
      <x:c r="I6" s="52"/>
      <x:c r="J6" s="52"/>
      <x:c r="K6" s="52"/>
      <x:c r="L6" s="52"/>
      <x:c r="M6" s="52"/>
      <x:c r="N6" s="52"/>
      <x:c r="O6" s="52"/>
    </x:row>
    <x:row r="7" ht="13.5" customHeight="1">
      <x:c r="B7" s="1" t="s">
        <x:v>178</x:v>
      </x:c>
      <x:c r="C7" s="40" t="n">
        <x:f>SUM(IS!C10:N10)</x:f>
        <x:v>10973.254527214476</x:v>
      </x:c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</x:row>
    <x:row r="8" ht="13.5" customHeight="1">
      <x:c r="B8" s="1" t="s">
        <x:v>179</x:v>
      </x:c>
      <x:c r="C8" s="40" t="n">
        <x:f>SUM(IS!C21:N21)</x:f>
        <x:v>-7146.810160807135</x:v>
      </x:c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</x:row>
    <x:row r="9" ht="13.5" customHeight="1">
      <x:c r="B9" s="1" t="s">
        <x:v>180</x:v>
      </x:c>
      <x:c r="C9" s="40" t="n">
        <x:f>CF!N34</x:f>
        <x:v>243.40237194736096</x:v>
      </x:c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</x:row>
    <x:row r="10" ht="13.5" customHeight="1">
      <x:c r="B10" s="1" t="s">
        <x:v>181</x:v>
      </x:c>
      <x:c r="C10" s="41" t="n">
        <x:f>Revenue!N20</x:f>
        <x:v>209.3367062634897</x:v>
      </x:c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</x:row>
    <x:row r="11" ht="13.5" customHeight="1">
      <x:c r="B11" s="1" t="s">
        <x:v>182</x:v>
      </x:c>
      <x:c r="C11" s="41" t="n">
        <x:f>HC!N49</x:f>
        <x:v>89.83682628531297</x:v>
      </x:c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</x:row>
    <x:row r="12" ht="13.5" customHeight="1"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</x:row>
    <x:row r="13" ht="13.5" customHeight="1"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</x:row>
    <x:row r="14" ht="13.5" customHeight="1">
      <x:c r="B14" s="42" t="s">
        <x:v>183</x:v>
      </x:c>
      <x:c r="C14" s="43">
        <x:v>46388</x:v>
      </x:c>
      <x:c r="D14" s="43">
        <x:v>46419</x:v>
      </x:c>
      <x:c r="E14" s="43">
        <x:v>46447</x:v>
      </x:c>
      <x:c r="F14" s="43">
        <x:v>46478</x:v>
      </x:c>
      <x:c r="G14" s="43">
        <x:v>46508</x:v>
      </x:c>
      <x:c r="H14" s="43">
        <x:v>46539</x:v>
      </x:c>
      <x:c r="I14" s="43">
        <x:v>46569</x:v>
      </x:c>
      <x:c r="J14" s="43">
        <x:v>46600</x:v>
      </x:c>
      <x:c r="K14" s="43">
        <x:v>46631</x:v>
      </x:c>
      <x:c r="L14" s="43">
        <x:v>46661</x:v>
      </x:c>
      <x:c r="M14" s="43">
        <x:v>46692</x:v>
      </x:c>
      <x:c r="N14" s="43">
        <x:v>46722</x:v>
      </x:c>
      <x:c r="O14" s="42" t="s">
        <x:v>184</x:v>
      </x:c>
    </x:row>
    <x:row r="15" ht="13.5" customHeight="1"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</x:row>
    <x:row r="16" ht="13.5" customHeight="1">
      <x:c r="B16" s="44" t="s">
        <x:v>185</x:v>
      </x:c>
      <x:c r="C16" s="55" t="n">
        <x:f>BS!C$32</x:f>
        <x:v>0</x:v>
      </x:c>
      <x:c r="D16" s="55" t="n">
        <x:f>BS!D$32</x:f>
        <x:v>0</x:v>
      </x:c>
      <x:c r="E16" s="55" t="n">
        <x:f>BS!E$32</x:f>
        <x:v>0</x:v>
      </x:c>
      <x:c r="F16" s="55" t="n">
        <x:f>BS!F$32</x:f>
        <x:v>0</x:v>
      </x:c>
      <x:c r="G16" s="55" t="n">
        <x:f>BS!G$32</x:f>
        <x:v>0</x:v>
      </x:c>
      <x:c r="H16" s="55" t="n">
        <x:f>BS!H$32</x:f>
        <x:v>0</x:v>
      </x:c>
      <x:c r="I16" s="55" t="n">
        <x:f>BS!I$32</x:f>
        <x:v>0</x:v>
      </x:c>
      <x:c r="J16" s="55" t="n">
        <x:f>BS!J$32</x:f>
        <x:v>0</x:v>
      </x:c>
      <x:c r="K16" s="55" t="n">
        <x:f>BS!K$32</x:f>
        <x:v>0</x:v>
      </x:c>
      <x:c r="L16" s="55" t="n">
        <x:f>BS!L$32</x:f>
        <x:v>0</x:v>
      </x:c>
      <x:c r="M16" s="55" t="n">
        <x:f>BS!M$32</x:f>
        <x:v>0</x:v>
      </x:c>
      <x:c r="N16" s="55" t="n">
        <x:f>BS!N$32</x:f>
        <x:v>0</x:v>
      </x:c>
      <x:c r="O16" s="78" t="str">
        <x:f t="shared" ref="O16:O22" si="0">IF(MAX(MAX(C16:N16),-MIN(C16:N16))&lt;0.01,"PASS","FAIL")</x:f>
        <x:v>PASS</x:v>
      </x:c>
    </x:row>
    <x:row r="17" ht="13.5" customHeight="1">
      <x:c r="B17" s="44" t="s">
        <x:v>186</x:v>
      </x:c>
      <x:c r="C17" s="55" t="n">
        <x:f>CF!C$34-BS!C$9</x:f>
        <x:v>0</x:v>
      </x:c>
      <x:c r="D17" s="55" t="n">
        <x:f>CF!D$34-BS!D$9</x:f>
        <x:v>0</x:v>
      </x:c>
      <x:c r="E17" s="55" t="n">
        <x:f>CF!E$34-BS!E$9</x:f>
        <x:v>0</x:v>
      </x:c>
      <x:c r="F17" s="55" t="n">
        <x:f>CF!F$34-BS!F$9</x:f>
        <x:v>0</x:v>
      </x:c>
      <x:c r="G17" s="55" t="n">
        <x:f>CF!G$34-BS!G$9</x:f>
        <x:v>0</x:v>
      </x:c>
      <x:c r="H17" s="55" t="n">
        <x:f>CF!H$34-BS!H$9</x:f>
        <x:v>0</x:v>
      </x:c>
      <x:c r="I17" s="55" t="n">
        <x:f>CF!I$34-BS!I$9</x:f>
        <x:v>0</x:v>
      </x:c>
      <x:c r="J17" s="55" t="n">
        <x:f>CF!J$34-BS!J$9</x:f>
        <x:v>0</x:v>
      </x:c>
      <x:c r="K17" s="55" t="n">
        <x:f>CF!K$34-BS!K$9</x:f>
        <x:v>0</x:v>
      </x:c>
      <x:c r="L17" s="55" t="n">
        <x:f>CF!L$34-BS!L$9</x:f>
        <x:v>0</x:v>
      </x:c>
      <x:c r="M17" s="55" t="n">
        <x:f>CF!M$34-BS!M$9</x:f>
        <x:v>0</x:v>
      </x:c>
      <x:c r="N17" s="55" t="n">
        <x:f>CF!N$34-BS!N$9</x:f>
        <x:v>0</x:v>
      </x:c>
      <x:c r="O17" s="78" t="str">
        <x:f t="shared" si="0"/>
        <x:v>PASS</x:v>
      </x:c>
    </x:row>
    <x:row r="18" ht="13.5" customHeight="1">
      <x:c r="B18" s="44" t="s">
        <x:v>187</x:v>
      </x:c>
      <x:c r="C18" s="55" t="n">
        <x:f>'Fin, Tax &amp; Equity'!C$31-IS!C$29</x:f>
        <x:v>0</x:v>
      </x:c>
      <x:c r="D18" s="55" t="n">
        <x:f>'Fin, Tax &amp; Equity'!D$31-IS!D$29</x:f>
        <x:v>0</x:v>
      </x:c>
      <x:c r="E18" s="55" t="n">
        <x:f>'Fin, Tax &amp; Equity'!E$31-IS!E$29</x:f>
        <x:v>0</x:v>
      </x:c>
      <x:c r="F18" s="55" t="n">
        <x:f>'Fin, Tax &amp; Equity'!F$31-IS!F$29</x:f>
        <x:v>0</x:v>
      </x:c>
      <x:c r="G18" s="55" t="n">
        <x:f>'Fin, Tax &amp; Equity'!G$31-IS!G$29</x:f>
        <x:v>0</x:v>
      </x:c>
      <x:c r="H18" s="55" t="n">
        <x:f>'Fin, Tax &amp; Equity'!H$31-IS!H$29</x:f>
        <x:v>0</x:v>
      </x:c>
      <x:c r="I18" s="55" t="n">
        <x:f>'Fin, Tax &amp; Equity'!I$31-IS!I$29</x:f>
        <x:v>0</x:v>
      </x:c>
      <x:c r="J18" s="55" t="n">
        <x:f>'Fin, Tax &amp; Equity'!J$31-IS!J$29</x:f>
        <x:v>0</x:v>
      </x:c>
      <x:c r="K18" s="55" t="n">
        <x:f>'Fin, Tax &amp; Equity'!K$31-IS!K$29</x:f>
        <x:v>0</x:v>
      </x:c>
      <x:c r="L18" s="55" t="n">
        <x:f>'Fin, Tax &amp; Equity'!L$31-IS!L$29</x:f>
        <x:v>0</x:v>
      </x:c>
      <x:c r="M18" s="55" t="n">
        <x:f>'Fin, Tax &amp; Equity'!M$31-IS!M$29</x:f>
        <x:v>0</x:v>
      </x:c>
      <x:c r="N18" s="55" t="n">
        <x:f>'Fin, Tax &amp; Equity'!N$31-IS!N$29</x:f>
        <x:v>0</x:v>
      </x:c>
      <x:c r="O18" s="78" t="str">
        <x:f t="shared" si="0"/>
        <x:v>PASS</x:v>
      </x:c>
    </x:row>
    <x:row r="19" ht="13.5" customHeight="1">
      <x:c r="B19" s="44" t="s">
        <x:v>188</x:v>
      </x:c>
      <x:c r="C19" s="55" t="n">
        <x:f>CF!C$17-WC!C$42</x:f>
        <x:v>0</x:v>
      </x:c>
      <x:c r="D19" s="55" t="n">
        <x:f>CF!D$17-WC!D$42</x:f>
        <x:v>0</x:v>
      </x:c>
      <x:c r="E19" s="55" t="n">
        <x:f>CF!E$17-WC!E$42</x:f>
        <x:v>0</x:v>
      </x:c>
      <x:c r="F19" s="55" t="n">
        <x:f>CF!F$17-WC!F$42</x:f>
        <x:v>0</x:v>
      </x:c>
      <x:c r="G19" s="55" t="n">
        <x:f>CF!G$17-WC!G$42</x:f>
        <x:v>0</x:v>
      </x:c>
      <x:c r="H19" s="55" t="n">
        <x:f>CF!H$17-WC!H$42</x:f>
        <x:v>0</x:v>
      </x:c>
      <x:c r="I19" s="55" t="n">
        <x:f>CF!I$17-WC!I$42</x:f>
        <x:v>0</x:v>
      </x:c>
      <x:c r="J19" s="55" t="n">
        <x:f>CF!J$17-WC!J$42</x:f>
        <x:v>0</x:v>
      </x:c>
      <x:c r="K19" s="55" t="n">
        <x:f>CF!K$17-WC!K$42</x:f>
        <x:v>0</x:v>
      </x:c>
      <x:c r="L19" s="55" t="n">
        <x:f>CF!L$17-WC!L$42</x:f>
        <x:v>0</x:v>
      </x:c>
      <x:c r="M19" s="55" t="n">
        <x:f>CF!M$17-WC!M$42</x:f>
        <x:v>0</x:v>
      </x:c>
      <x:c r="N19" s="55" t="n">
        <x:f>CF!N$17-WC!N$42</x:f>
        <x:v>0</x:v>
      </x:c>
      <x:c r="O19" s="78" t="str">
        <x:f t="shared" si="0"/>
        <x:v>PASS</x:v>
      </x:c>
    </x:row>
    <x:row r="20" ht="13.5" customHeight="1">
      <x:c r="B20" s="44" t="s">
        <x:v>189</x:v>
      </x:c>
      <x:c r="C20" s="55" t="n">
        <x:f>'FA &amp; D&amp;A'!C$24</x:f>
        <x:v>0</x:v>
      </x:c>
      <x:c r="D20" s="55" t="n">
        <x:f>'FA &amp; D&amp;A'!D$24</x:f>
        <x:v>0</x:v>
      </x:c>
      <x:c r="E20" s="55" t="n">
        <x:f>'FA &amp; D&amp;A'!E$24</x:f>
        <x:v>0</x:v>
      </x:c>
      <x:c r="F20" s="55" t="n">
        <x:f>'FA &amp; D&amp;A'!F$24</x:f>
        <x:v>0</x:v>
      </x:c>
      <x:c r="G20" s="55" t="n">
        <x:f>'FA &amp; D&amp;A'!G$24</x:f>
        <x:v>0</x:v>
      </x:c>
      <x:c r="H20" s="55" t="n">
        <x:f>'FA &amp; D&amp;A'!H$24</x:f>
        <x:v>0</x:v>
      </x:c>
      <x:c r="I20" s="55" t="n">
        <x:f>'FA &amp; D&amp;A'!I$24</x:f>
        <x:v>0</x:v>
      </x:c>
      <x:c r="J20" s="55" t="n">
        <x:f>'FA &amp; D&amp;A'!J$24</x:f>
        <x:v>0</x:v>
      </x:c>
      <x:c r="K20" s="55" t="n">
        <x:f>'FA &amp; D&amp;A'!K$24</x:f>
        <x:v>0</x:v>
      </x:c>
      <x:c r="L20" s="55" t="n">
        <x:f>'FA &amp; D&amp;A'!L$24</x:f>
        <x:v>0</x:v>
      </x:c>
      <x:c r="M20" s="55" t="n">
        <x:f>'FA &amp; D&amp;A'!M$24</x:f>
        <x:v>0</x:v>
      </x:c>
      <x:c r="N20" s="55" t="n">
        <x:f>'FA &amp; D&amp;A'!N$24</x:f>
        <x:v>0</x:v>
      </x:c>
      <x:c r="O20" s="78" t="str">
        <x:f t="shared" si="0"/>
        <x:v>PASS</x:v>
      </x:c>
    </x:row>
    <x:row r="21" ht="13.5" customHeight="1">
      <x:c r="B21" s="44" t="s">
        <x:v>190</x:v>
      </x:c>
      <x:c r="C21" s="55" t="n">
        <x:f>Revenue!C$59-(Revenue!C$56+Revenue!C$57-Revenue!C$58)</x:f>
        <x:v>0</x:v>
      </x:c>
      <x:c r="D21" s="55" t="n">
        <x:f>Revenue!D$59-(Revenue!D$56+Revenue!D$57-Revenue!D$58)</x:f>
        <x:v>0</x:v>
      </x:c>
      <x:c r="E21" s="55" t="n">
        <x:f>Revenue!E$59-(Revenue!E$56+Revenue!E$57-Revenue!E$58)</x:f>
        <x:v>0</x:v>
      </x:c>
      <x:c r="F21" s="55" t="n">
        <x:f>Revenue!F$59-(Revenue!F$56+Revenue!F$57-Revenue!F$58)</x:f>
        <x:v>0</x:v>
      </x:c>
      <x:c r="G21" s="55" t="n">
        <x:f>Revenue!G$59-(Revenue!G$56+Revenue!G$57-Revenue!G$58)</x:f>
        <x:v>0</x:v>
      </x:c>
      <x:c r="H21" s="55" t="n">
        <x:f>Revenue!H$59-(Revenue!H$56+Revenue!H$57-Revenue!H$58)</x:f>
        <x:v>0</x:v>
      </x:c>
      <x:c r="I21" s="55" t="n">
        <x:f>Revenue!I$59-(Revenue!I$56+Revenue!I$57-Revenue!I$58)</x:f>
        <x:v>0</x:v>
      </x:c>
      <x:c r="J21" s="55" t="n">
        <x:f>Revenue!J$59-(Revenue!J$56+Revenue!J$57-Revenue!J$58)</x:f>
        <x:v>0</x:v>
      </x:c>
      <x:c r="K21" s="55" t="n">
        <x:f>Revenue!K$59-(Revenue!K$56+Revenue!K$57-Revenue!K$58)</x:f>
        <x:v>0</x:v>
      </x:c>
      <x:c r="L21" s="55" t="n">
        <x:f>Revenue!L$59-(Revenue!L$56+Revenue!L$57-Revenue!L$58)</x:f>
        <x:v>0</x:v>
      </x:c>
      <x:c r="M21" s="55" t="n">
        <x:f>Revenue!M$59-(Revenue!M$56+Revenue!M$57-Revenue!M$58)</x:f>
        <x:v>0</x:v>
      </x:c>
      <x:c r="N21" s="55" t="n">
        <x:f>Revenue!N$59-(Revenue!N$56+Revenue!N$57-Revenue!N$58)</x:f>
        <x:v>0</x:v>
      </x:c>
      <x:c r="O21" s="78" t="str">
        <x:f t="shared" si="0"/>
        <x:v>PASS</x:v>
      </x:c>
    </x:row>
    <x:row r="22" ht="13.5" customHeight="1">
      <x:c r="B22" s="44" t="s">
        <x:v>191</x:v>
      </x:c>
      <x:c r="C22" s="55" t="n">
        <x:f t="shared" ref="C22:N22" si="1">0</x:f>
        <x:v>0</x:v>
      </x:c>
      <x:c r="D22" s="55">
        <x:f t="shared" si="1"/>
        <x:v>0</x:v>
      </x:c>
      <x:c r="E22" s="55">
        <x:f t="shared" si="1"/>
        <x:v>0</x:v>
      </x:c>
      <x:c r="F22" s="55">
        <x:f t="shared" si="1"/>
        <x:v>0</x:v>
      </x:c>
      <x:c r="G22" s="55">
        <x:f t="shared" si="1"/>
        <x:v>0</x:v>
      </x:c>
      <x:c r="H22" s="55">
        <x:f t="shared" si="1"/>
        <x:v>0</x:v>
      </x:c>
      <x:c r="I22" s="55">
        <x:f t="shared" si="1"/>
        <x:v>0</x:v>
      </x:c>
      <x:c r="J22" s="55">
        <x:f t="shared" si="1"/>
        <x:v>0</x:v>
      </x:c>
      <x:c r="K22" s="55">
        <x:f t="shared" si="1"/>
        <x:v>0</x:v>
      </x:c>
      <x:c r="L22" s="55">
        <x:f t="shared" si="1"/>
        <x:v>0</x:v>
      </x:c>
      <x:c r="M22" s="55">
        <x:f t="shared" si="1"/>
        <x:v>0</x:v>
      </x:c>
      <x:c r="N22" s="55">
        <x:f t="shared" si="1"/>
        <x:v>0</x:v>
      </x:c>
      <x:c r="O22" s="78" t="str">
        <x:f t="shared" si="0"/>
        <x:v>PASS</x:v>
      </x:c>
    </x:row>
    <x:row r="23" ht="13.5" customHeight="1"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</x:row>
    <x:row r="24" ht="13.5" customHeight="1"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</x:row>
    <x:row r="25" ht="13.5" customHeight="1">
      <x:c r="B25" s="42" t="s">
        <x:v>192</x:v>
      </x:c>
      <x:c r="C25" s="42" t="s">
        <x:v>24</x:v>
      </x:c>
      <x:c r="D25" s="42" t="s">
        <x:v>39</x:v>
      </x:c>
      <x:c r="E25" s="42" t="s">
        <x:v>193</x:v>
      </x:c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</x:row>
    <x:row r="26" ht="13.5" customHeight="1">
      <x:c r="B26" s="39" t="s">
        <x:v>194</x:v>
      </x:c>
      <x:c r="C26" s="56" t="n">
        <x:f>IS!C$10</x:f>
        <x:v>627.5648199999999</x:v>
      </x:c>
      <x:c r="D26" s="56" t="n">
        <x:f>IS!C$21</x:f>
        <x:v>-635.5673976</x:v>
      </x:c>
      <x:c r="E26" s="56" t="n">
        <x:f>CF!C$34</x:f>
        <x:v>4427.787062750877</x:v>
      </x:c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</x:row>
    <x:row r="27" ht="13.5" customHeight="1">
      <x:c r="B27" s="39" t="s">
        <x:v>195</x:v>
      </x:c>
      <x:c r="C27" s="56" t="n">
        <x:f>IS!D$10</x:f>
        <x:v>666.8798509067204</x:v>
      </x:c>
      <x:c r="D27" s="56" t="n">
        <x:f>IS!D$21</x:f>
        <x:v>-639.2041989564893</x:v>
      </x:c>
      <x:c r="E27" s="56" t="n">
        <x:f>CF!D$34</x:f>
        <x:v>4040.044318442212</x:v>
      </x:c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</x:row>
    <x:row r="28" ht="13.5" customHeight="1">
      <x:c r="B28" s="39" t="s">
        <x:v>196</x:v>
      </x:c>
      <x:c r="C28" s="56" t="n">
        <x:f>IS!E$10</x:f>
        <x:v>709.0826662348098</x:v>
      </x:c>
      <x:c r="D28" s="56" t="n">
        <x:f>IS!E$21</x:f>
        <x:v>-640.4800744272559</x:v>
      </x:c>
      <x:c r="E28" s="56" t="n">
        <x:f>CF!E$34</x:f>
        <x:v>3646.2752665000457</x:v>
      </x:c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</x:row>
    <x:row r="29" ht="13.5" customHeight="1">
      <x:c r="B29" s="39" t="s">
        <x:v>197</x:v>
      </x:c>
      <x:c r="C29" s="56" t="n">
        <x:f>IS!F$10</x:f>
        <x:v>755.2839856077072</x:v>
      </x:c>
      <x:c r="D29" s="56" t="n">
        <x:f>IS!F$21</x:f>
        <x:v>-638.4828577284413</x:v>
      </x:c>
      <x:c r="E29" s="56" t="n">
        <x:f>CF!F$34</x:f>
        <x:v>3258.384875097866</x:v>
      </x:c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</x:row>
    <x:row r="30" ht="13.5" customHeight="1">
      <x:c r="B30" s="39" t="s">
        <x:v>198</x:v>
      </x:c>
      <x:c r="C30" s="56" t="n">
        <x:f>IS!G$10</x:f>
        <x:v>805.7680131403232</x:v>
      </x:c>
      <x:c r="D30" s="56" t="n">
        <x:f>IS!G$21</x:f>
        <x:v>-632.7584931475358</x:v>
      </x:c>
      <x:c r="E30" s="56" t="n">
        <x:f>CF!G$34</x:f>
        <x:v>2874.9009907342006</x:v>
      </x:c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</x:row>
    <x:row r="31" ht="13.5" customHeight="1">
      <x:c r="B31" s="39" t="s">
        <x:v>199</x:v>
      </x:c>
      <x:c r="C31" s="56" t="n">
        <x:f>IS!H$10</x:f>
        <x:v>860.5107611842532</x:v>
      </x:c>
      <x:c r="D31" s="56" t="n">
        <x:f>IS!H$21</x:f>
        <x:v>-623.3279425193772</x:v>
      </x:c>
      <x:c r="E31" s="56" t="n">
        <x:f>CF!H$34</x:f>
        <x:v>2494.9772915572917</x:v>
      </x:c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</x:row>
    <x:row r="32" ht="13.5" customHeight="1">
      <x:c r="B32" s="39" t="s">
        <x:v>200</x:v>
      </x:c>
      <x:c r="C32" s="56" t="n">
        <x:f>IS!I$10</x:f>
        <x:v>919.4883866571955</x:v>
      </x:c>
      <x:c r="D32" s="56" t="n">
        <x:f>IS!I$21</x:f>
        <x:v>-610.212041382822</x:v>
      </x:c>
      <x:c r="E32" s="56" t="n">
        <x:f>CF!I$34</x:f>
        <x:v>2117.772225687001</x:v>
      </x:c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</x:row>
    <x:row r="33" ht="13.5" customHeight="1">
      <x:c r="B33" s="39" t="s">
        <x:v>201</x:v>
      </x:c>
      <x:c r="C33" s="56" t="n">
        <x:f>IS!J$10</x:f>
        <x:v>982.6771901757951</x:v>
      </x:c>
      <x:c r="D33" s="56" t="n">
        <x:f>IS!J$21</x:f>
        <x:v>-593.4314997383198</x:v>
      </x:c>
      <x:c r="E33" s="56" t="n">
        <x:f>CF!J$34</x:f>
        <x:v>1742.4489824795949</x:v>
      </x:c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</x:row>
    <x:row r="34" ht="13.5" customHeight="1">
      <x:c r="B34" s="39" t="s">
        <x:v>202</x:v>
      </x:c>
      <x:c r="C34" s="56" t="n">
        <x:f>IS!K$10</x:f>
        <x:v>1050.0536151936892</x:v>
      </x:c>
      <x:c r="D34" s="56" t="n">
        <x:f>IS!K$21</x:f>
        <x:v>-573.0069028009517</x:v>
      </x:c>
      <x:c r="E34" s="56" t="n">
        <x:f>CF!K$34</x:f>
        <x:v>1368.1754639648798</x:v>
      </x:c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</x:row>
    <x:row r="35" ht="13.5" customHeight="1">
      <x:c r="B35" s="39" t="s">
        <x:v>203</x:v>
      </x:c>
      <x:c r="C35" s="56" t="n">
        <x:f>IS!L$10</x:f>
        <x:v>1121.5942471447256</x:v>
      </x:c>
      <x:c r="D35" s="56" t="n">
        <x:f>IS!L$21</x:f>
        <x:v>-548.9587117489432</x:v>
      </x:c>
      <x:c r="E35" s="56" t="n">
        <x:f>CF!L$34</x:f>
        <x:v>994.1242564546923</x:v>
      </x:c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</x:row>
    <x:row r="36" ht="13.5" customHeight="1">
      <x:c r="B36" s="39" t="s">
        <x:v>204</x:v>
      </x:c>
      <x:c r="C36" s="56" t="n">
        <x:f>IS!M$10</x:f>
        <x:v>1197.2758125913224</x:v>
      </x:c>
      <x:c r="D36" s="56" t="n">
        <x:f>IS!M$21</x:f>
        <x:v>-521.3072644676884</x:v>
      </x:c>
      <x:c r="E36" s="56" t="n">
        <x:f>CF!M$34</x:f>
        <x:v>619.4726023216778</x:v>
      </x:c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</x:row>
    <x:row r="37" ht="13.5" customHeight="1">
      <x:c r="B37" s="39" t="s">
        <x:v>205</x:v>
      </x:c>
      <x:c r="C37" s="56" t="n">
        <x:f>IS!N$10</x:f>
        <x:v>1277.0751783779358</x:v>
      </x:c>
      <x:c r="D37" s="56" t="n">
        <x:f>IS!N$21</x:f>
        <x:v>-490.07277628931</x:v>
      </x:c>
      <x:c r="E37" s="56" t="n">
        <x:f>CF!N$34</x:f>
        <x:v>243.40237194736096</x:v>
      </x:c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</x:row>
    <x:row r="38" ht="13.5" customHeight="1"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</x:row>
    <x:row r="39" ht="13.5" customHeight="1">
      <x:c r="B39" s="42" t="s">
        <x:v>192</x:v>
      </x:c>
      <x:c r="C39" s="42" t="s">
        <x:v>193</x:v>
      </x:c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</x:row>
    <x:row r="40" ht="13.5" customHeight="1">
      <x:c r="B40" s="39" t="s">
        <x:v>194</x:v>
      </x:c>
      <x:c r="C40" s="56" t="n">
        <x:f t="shared" ref="C40:C51" si="2">E26</x:f>
        <x:v>4427.787062750877</x:v>
      </x:c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</x:row>
    <x:row r="41" ht="13.5" customHeight="1">
      <x:c r="B41" s="39" t="s">
        <x:v>195</x:v>
      </x:c>
      <x:c r="C41" s="56">
        <x:f t="shared" si="2"/>
        <x:v>4040.044318442212</x:v>
      </x:c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</x:row>
    <x:row r="42" ht="13.5" customHeight="1">
      <x:c r="B42" s="39" t="s">
        <x:v>196</x:v>
      </x:c>
      <x:c r="C42" s="56">
        <x:f t="shared" si="2"/>
        <x:v>3646.2752665000457</x:v>
      </x:c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</x:row>
    <x:row r="43" ht="13.5" customHeight="1">
      <x:c r="B43" s="39" t="s">
        <x:v>197</x:v>
      </x:c>
      <x:c r="C43" s="56">
        <x:f t="shared" si="2"/>
        <x:v>3258.3848750978659</x:v>
      </x:c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</x:row>
    <x:row r="44" ht="13.5" customHeight="1">
      <x:c r="B44" s="39" t="s">
        <x:v>198</x:v>
      </x:c>
      <x:c r="C44" s="56">
        <x:f t="shared" si="2"/>
        <x:v>2874.9009907342006</x:v>
      </x:c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</x:row>
    <x:row r="45" ht="13.5" customHeight="1">
      <x:c r="B45" s="39" t="s">
        <x:v>199</x:v>
      </x:c>
      <x:c r="C45" s="56">
        <x:f t="shared" si="2"/>
        <x:v>2494.9772915572917</x:v>
      </x:c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</x:row>
    <x:row r="46" ht="13.5" customHeight="1">
      <x:c r="B46" s="39" t="s">
        <x:v>200</x:v>
      </x:c>
      <x:c r="C46" s="56">
        <x:f t="shared" si="2"/>
        <x:v>2117.7722256870011</x:v>
      </x:c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</x:row>
    <x:row r="47" ht="13.5" customHeight="1">
      <x:c r="B47" s="39" t="s">
        <x:v>201</x:v>
      </x:c>
      <x:c r="C47" s="56">
        <x:f t="shared" si="2"/>
        <x:v>1742.4489824795949</x:v>
      </x:c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</x:row>
    <x:row r="48" ht="13.5" customHeight="1">
      <x:c r="B48" s="39" t="s">
        <x:v>202</x:v>
      </x:c>
      <x:c r="C48" s="56">
        <x:f t="shared" si="2"/>
        <x:v>1368.1754639648798</x:v>
      </x:c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</x:row>
    <x:row r="49" ht="13.5" customHeight="1">
      <x:c r="B49" s="39" t="s">
        <x:v>203</x:v>
      </x:c>
      <x:c r="C49" s="56">
        <x:f t="shared" si="2"/>
        <x:v>994.12425645469227</x:v>
      </x:c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</x:row>
    <x:row r="50" ht="13.5" customHeight="1">
      <x:c r="B50" s="39" t="s">
        <x:v>204</x:v>
      </x:c>
      <x:c r="C50" s="56">
        <x:f t="shared" si="2"/>
        <x:v>619.47260232167775</x:v>
      </x:c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</x:row>
    <x:row r="51" ht="13.5" customHeight="1">
      <x:c r="B51" s="39" t="s">
        <x:v>205</x:v>
      </x:c>
      <x:c r="C51" s="56">
        <x:f t="shared" si="2"/>
        <x:v>243.40237194736096</x:v>
      </x:c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</x:row>
    <x:row r="52" ht="13.5" customHeight="1"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</x:row>
    <x:row r="53" ht="13.5" customHeight="1"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</x:row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</x:sheetData>
  <x:mergeCells>
    <x:mergeCell ref="B2:O3"/>
  </x:mergeCells>
  <x:conditionalFormatting sqref="C6:C6">
    <x:cfRule type="containsText" dxfId="10" priority="1" operator="containsText" text="PASS">
      <x:formula>NOT(ISERROR(SEARCH(("PASS"),(C6))))</x:formula>
    </x:cfRule>
    <x:cfRule type="containsText" dxfId="9" priority="2" operator="containsText" text="FAIL">
      <x:formula>NOT(ISERROR(SEARCH(("FAIL"),(C6))))</x:formula>
    </x:cfRule>
    <x:cfRule type="containsText" dxfId="8" priority="3" operator="containsText" text="WATCH">
      <x:formula>NOT(ISERROR(SEARCH(("WATCH"),(C6))))</x:formula>
    </x:cfRule>
  </x:conditionalFormatting>
  <x:conditionalFormatting sqref="O16:O22">
    <x:cfRule type="containsText" dxfId="7" priority="4" operator="containsText" text="PASS">
      <x:formula>NOT(ISERROR(SEARCH(("PASS"),(O16))))</x:formula>
    </x:cfRule>
    <x:cfRule type="containsText" dxfId="6" priority="5" operator="containsText" text="FAIL">
      <x:formula>NOT(ISERROR(SEARCH(("FAIL"),(O16))))</x:formula>
    </x:cfRule>
    <x:cfRule type="containsText" dxfId="5" priority="6" operator="containsText" text="WATCH">
      <x:formula>NOT(ISERROR(SEARCH(("WATCH"),(O16))))</x:formula>
    </x:cfRule>
  </x:conditionalFormatting>
  <x:pageMargins left="0.7" right="0.7" top="0.75" bottom="0.75" header="0.3" footer="0.3"/>
  <x:drawing xmlns:r="http://schemas.openxmlformats.org/officeDocument/2006/relationships" r:id="R2853d2830f6449fb"/>
</x:worksheet>
</file>

<file path=xl/worksheets/sheet5.xml><?xml version="1.0" encoding="utf-8"?>
<x:worksheet xmlns:x="http://schemas.openxmlformats.org/spreadsheetml/2006/main">
  <x:sheetPr>
    <x:tabColor rgb="FF263238"/>
  </x:sheetPr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" style="51" customWidth="1"/>
    <x:col min="3" max="3" width="12" style="51" customWidth="1"/>
    <x:col min="4" max="4" width="3" style="51" customWidth="1"/>
    <x:col min="5" max="9" width="18" style="51" customWidth="1"/>
    <x:col min="10" max="27" width="8.83203125" style="51" customWidth="1"/>
    <x:col min="28" max="16384" width="12.6640625" style="51" customWidth="0"/>
  </x:cols>
  <x:sheetData>
    <x:row r="2" ht="13.5" customHeight="1"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</x:row>
    <x:row r="3" ht="13.5" customHeight="1">
      <x:c r="B3" s="36"/>
      <x:c r="C3" s="57" t="s">
        <x:v>206</x:v>
      </x:c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9"/>
    </x:row>
    <x:row r="4" ht="13.5" customHeight="1">
      <x:c r="B4" s="36"/>
      <x:c r="C4" s="60"/>
      <x:c r="D4" s="61"/>
      <x:c r="E4" s="61"/>
      <x:c r="F4" s="61"/>
      <x:c r="G4" s="61"/>
      <x:c r="H4" s="61"/>
      <x:c r="I4" s="61"/>
      <x:c r="J4" s="61"/>
      <x:c r="K4" s="61"/>
      <x:c r="L4" s="61"/>
      <x:c r="M4" s="61"/>
      <x:c r="N4" s="61"/>
      <x:c r="O4" s="62"/>
    </x:row>
    <x:row r="5" ht="13.5" customHeight="1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6"/>
    </x:row>
    <x:row r="6" ht="13.5" customHeight="1">
      <x:c r="B6" s="36"/>
      <x:c r="C6" s="37" t="s">
        <x:v>50</x:v>
      </x:c>
      <x:c r="D6" s="36"/>
      <x:c r="E6" s="73" t="s">
        <x:v>207</x:v>
      </x:c>
      <x:c r="F6" s="67"/>
      <x:c r="G6" s="67"/>
      <x:c r="H6" s="67"/>
      <x:c r="I6" s="68"/>
      <x:c r="J6" s="36"/>
      <x:c r="K6" s="36"/>
      <x:c r="L6" s="36"/>
      <x:c r="M6" s="36"/>
      <x:c r="N6" s="36"/>
      <x:c r="O6" s="36"/>
    </x:row>
    <x:row r="7" ht="13.5" customHeight="1">
      <x:c r="B7" s="36"/>
      <x:c r="C7" s="37" t="s">
        <x:v>51</x:v>
      </x:c>
      <x:c r="D7" s="36"/>
      <x:c r="E7" s="73" t="s">
        <x:v>208</x:v>
      </x:c>
      <x:c r="F7" s="67"/>
      <x:c r="G7" s="67"/>
      <x:c r="H7" s="67"/>
      <x:c r="I7" s="68"/>
      <x:c r="J7" s="36"/>
      <x:c r="K7" s="36"/>
      <x:c r="L7" s="36"/>
      <x:c r="M7" s="36"/>
      <x:c r="N7" s="36"/>
      <x:c r="O7" s="36"/>
    </x:row>
    <x:row r="8" ht="13.5" customHeight="1">
      <x:c r="B8" s="36"/>
      <x:c r="C8" s="37" t="s">
        <x:v>52</x:v>
      </x:c>
      <x:c r="D8" s="36"/>
      <x:c r="E8" s="73" t="s">
        <x:v>209</x:v>
      </x:c>
      <x:c r="F8" s="67"/>
      <x:c r="G8" s="67"/>
      <x:c r="H8" s="67"/>
      <x:c r="I8" s="68"/>
      <x:c r="J8" s="36"/>
      <x:c r="K8" s="36"/>
      <x:c r="L8" s="36"/>
      <x:c r="M8" s="36"/>
      <x:c r="N8" s="36"/>
      <x:c r="O8" s="36"/>
    </x:row>
    <x:row r="9" ht="13.5" customHeight="1"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</x:row>
    <x:row r="10" ht="13.5" customHeight="1"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</x:row>
    <x:row r="11" ht="13.5" customHeight="1"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</x:row>
    <x:row r="12" ht="13.5" customHeight="1"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</x:row>
    <x:row r="13" ht="13.5" customHeight="1"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</x:row>
    <x:row r="14" ht="13.5" customHeight="1"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</x:row>
    <x:row r="15" ht="13.5" customHeight="1"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</x:row>
    <x:row r="16" ht="13.5" customHeight="1"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</x:row>
    <x:row r="17" ht="13.5" customHeight="1"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</x:row>
    <x:row r="18" ht="13.5" customHeight="1"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</x:row>
    <x:row r="19" ht="13.5" customHeight="1"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</x:row>
    <x:row r="20" ht="13.5" customHeight="1"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</x:row>
    <x:row r="21" ht="13.5" customHeight="1"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</x:row>
    <x:row r="22" ht="13.5" customHeight="1"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</x:row>
    <x:row r="23" ht="13.5" customHeight="1"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</x:row>
    <x:row r="24" ht="13.5" customHeight="1"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</x:row>
    <x:row r="25" ht="13.5" customHeight="1"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</x:row>
    <x:row r="26" ht="13.5" customHeight="1"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</x:row>
    <x:row r="27" ht="13.5" customHeight="1"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</x:row>
    <x:row r="28" ht="13.5" customHeight="1"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</x:row>
    <x:row r="29" ht="13.5" customHeight="1"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</x:row>
    <x:row r="30" ht="13.5" customHeight="1"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</x:row>
    <x:row r="31" ht="13.5" customHeight="1"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</x:row>
    <x:row r="32" ht="13.5" customHeight="1"/>
    <x:row r="33" s="51" customFormat="1" ht="13.5" customHeight="1"/>
    <x:row r="34" s="51" customFormat="1" ht="13.5" customHeight="1"/>
    <x:row r="35" s="51" customFormat="1" ht="13.5" customHeight="1"/>
    <x:row r="36" s="51" customFormat="1" ht="13.5" customHeight="1"/>
    <x:row r="37" s="51" customFormat="1" ht="13.5" customHeight="1"/>
    <x:row r="38" s="51" customFormat="1" ht="13.5" customHeight="1"/>
    <x:row r="39" s="51" customFormat="1" ht="13.5" customHeight="1"/>
    <x:row r="40" s="51" customFormat="1" ht="13.5" customHeight="1"/>
    <x:row r="41" s="51" customFormat="1" ht="13.5" customHeight="1"/>
    <x:row r="42" s="51" customFormat="1" ht="13.5" customHeight="1"/>
    <x:row r="43" s="51" customFormat="1" ht="13.5" customHeight="1"/>
    <x:row r="44" s="51" customFormat="1" ht="13.5" customHeight="1"/>
    <x:row r="45" s="51" customFormat="1" ht="13.5" customHeight="1"/>
    <x:row r="46" s="51" customFormat="1" ht="13.5" customHeight="1"/>
    <x:row r="47" s="51" customFormat="1" ht="13.5" customHeight="1"/>
    <x:row r="48" s="51" customFormat="1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  <x:row r="1001" s="51" customFormat="1" ht="13.5" customHeight="1"/>
  </x:sheetData>
  <x:mergeCells>
    <x:mergeCell ref="C3:O4"/>
    <x:mergeCell ref="E6:I6"/>
    <x:mergeCell ref="E7:I7"/>
    <x:mergeCell ref="E8:I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207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210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6" ht="13.5" customHeight="1">
      <x:c r="B6" s="50" t="s">
        <x:v>211</x:v>
      </x:c>
      <x:c r="C6" s="18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19" t="s">
        <x:v>212</x:v>
      </x:c>
      <x:c r="C8" s="21" t="n">
        <x:f>Revenue!C$45</x:f>
        <x:v>600.2248199999999</x:v>
      </x:c>
      <x:c r="D8" s="21" t="n">
        <x:f>Revenue!D$45</x:f>
        <x:v>638.0422242400538</x:v>
      </x:c>
      <x:c r="E8" s="21" t="n">
        <x:f>Revenue!E$45</x:f>
        <x:v>677.9330353281432</x:v>
      </x:c>
      <x:c r="F8" s="21" t="n">
        <x:f>Revenue!F$45</x:f>
        <x:v>721.0177993331472</x:v>
      </x:c>
      <x:c r="G8" s="21" t="n">
        <x:f>Revenue!G$45</x:f>
        <x:v>768.4039708300772</x:v>
      </x:c>
      <x:c r="H8" s="21" t="n">
        <x:f>Revenue!H$45</x:f>
        <x:v>820.0674499745353</x:v>
      </x:c>
      <x:c r="I8" s="21" t="n">
        <x:f>Revenue!I$45</x:f>
        <x:v>875.9842821614027</x:v>
      </x:c>
      <x:c r="J8" s="21" t="n">
        <x:f>Revenue!J$45</x:f>
        <x:v>936.1306571536436</x:v>
      </x:c>
      <x:c r="K8" s="21" t="n">
        <x:f>Revenue!K$45</x:f>
        <x:v>1000.4829082163373</x:v>
      </x:c>
      <x:c r="L8" s="21" t="n">
        <x:f>Revenue!L$45</x:f>
        <x:v>1069.0175112559045</x:v>
      </x:c>
      <x:c r="M8" s="21" t="n">
        <x:f>Revenue!M$45</x:f>
        <x:v>1141.7110839645009</x:v>
      </x:c>
      <x:c r="N8" s="21" t="n">
        <x:f>Revenue!N$45</x:f>
        <x:v>1218.540384969542</x:v>
      </x:c>
    </x:row>
    <x:row r="9" ht="13.5" customHeight="1">
      <x:c r="B9" s="19" t="s">
        <x:v>213</x:v>
      </x:c>
      <x:c r="C9" s="21" t="n">
        <x:f>Revenue!C$47</x:f>
        <x:v>27.34</x:v>
      </x:c>
      <x:c r="D9" s="21" t="n">
        <x:f>Revenue!D$47</x:f>
        <x:v>28.83762666666667</x:v>
      </x:c>
      <x:c r="E9" s="21" t="n">
        <x:f>Revenue!E$47</x:f>
        <x:v>31.14963090666667</x:v>
      </x:c>
      <x:c r="F9" s="21" t="n">
        <x:f>Revenue!F$47</x:f>
        <x:v>34.266186274560006</x:v>
      </x:c>
      <x:c r="G9" s="21" t="n">
        <x:f>Revenue!G$47</x:f>
        <x:v>37.36404231024597</x:v>
      </x:c>
      <x:c r="H9" s="21" t="n">
        <x:f>Revenue!H$47</x:f>
        <x:v>40.44331120971784</x:v>
      </x:c>
      <x:c r="I9" s="21" t="n">
        <x:f>Revenue!I$47</x:f>
        <x:v>43.50410449579286</x:v>
      </x:c>
      <x:c r="J9" s="21" t="n">
        <x:f>Revenue!J$47</x:f>
        <x:v>46.54653302215144</x:v>
      </x:c>
      <x:c r="K9" s="21" t="n">
        <x:f>Revenue!K$47</x:f>
        <x:v>49.57070697735187</x:v>
      </x:c>
      <x:c r="L9" s="21" t="n">
        <x:f>Revenue!L$47</x:f>
        <x:v>52.57673588882109</x:v>
      </x:c>
      <x:c r="M9" s="21" t="n">
        <x:f>Revenue!M$47</x:f>
        <x:v>55.564728626821505</x:v>
      </x:c>
      <x:c r="N9" s="21" t="n">
        <x:f>Revenue!N$47</x:f>
        <x:v>58.5347934083939</x:v>
      </x:c>
    </x:row>
    <x:row r="10" ht="13.5" customHeight="1">
      <x:c r="B10" s="22" t="s">
        <x:v>214</x:v>
      </x:c>
      <x:c r="C10" s="23" t="n">
        <x:f t="shared" ref="C10:N10" si="0">SUM(C8:C9)</x:f>
        <x:v>627.5648199999999</x:v>
      </x:c>
      <x:c r="D10" s="23">
        <x:f t="shared" si="0"/>
        <x:v>666.87985090672043</x:v>
      </x:c>
      <x:c r="E10" s="23">
        <x:f t="shared" si="0"/>
        <x:v>709.08266623480984</x:v>
      </x:c>
      <x:c r="F10" s="23">
        <x:f t="shared" si="0"/>
        <x:v>755.28398560770722</x:v>
      </x:c>
      <x:c r="G10" s="23">
        <x:f t="shared" si="0"/>
        <x:v>805.76801314032321</x:v>
      </x:c>
      <x:c r="H10" s="23">
        <x:f t="shared" si="0"/>
        <x:v>860.51076118425317</x:v>
      </x:c>
      <x:c r="I10" s="23">
        <x:f t="shared" si="0"/>
        <x:v>919.48838665719552</x:v>
      </x:c>
      <x:c r="J10" s="23">
        <x:f t="shared" si="0"/>
        <x:v>982.67719017579509</x:v>
      </x:c>
      <x:c r="K10" s="23">
        <x:f t="shared" si="0"/>
        <x:v>1050.0536151936892</x:v>
      </x:c>
      <x:c r="L10" s="23">
        <x:f t="shared" si="0"/>
        <x:v>1121.5942471447256</x:v>
      </x:c>
      <x:c r="M10" s="23">
        <x:f t="shared" si="0"/>
        <x:v>1197.2758125913224</x:v>
      </x:c>
      <x:c r="N10" s="23">
        <x:f t="shared" si="0"/>
        <x:v>1277.0751783779358</x:v>
      </x:c>
    </x:row>
    <x:row r="11" ht="13.5" customHeight="1">
      <x:c r="B11" s="19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</x:row>
    <x:row r="12" ht="13.5" customHeight="1">
      <x:c r="B12" s="19" t="s">
        <x:v>102</x:v>
      </x:c>
      <x:c r="C12" s="21" t="n">
        <x:f>OpEx!C$11</x:f>
        <x:v>108.04046759999999</x:v>
      </x:c>
      <x:c r="D12" s="21" t="n">
        <x:f>OpEx!D$11</x:f>
        <x:v>114.84760036320968</x:v>
      </x:c>
      <x:c r="E12" s="21" t="n">
        <x:f>OpEx!E$11</x:f>
        <x:v>122.02794635906577</x:v>
      </x:c>
      <x:c r="F12" s="21" t="n">
        <x:f>OpEx!F$11</x:f>
        <x:v>129.7832038799665</x:v>
      </x:c>
      <x:c r="G12" s="21" t="n">
        <x:f>OpEx!G$11</x:f>
        <x:v>138.31271474941389</x:v>
      </x:c>
      <x:c r="H12" s="21" t="n">
        <x:f>OpEx!H$11</x:f>
        <x:v>147.61214099541635</x:v>
      </x:c>
      <x:c r="I12" s="21" t="n">
        <x:f>OpEx!I$11</x:f>
        <x:v>157.67717078905247</x:v>
      </x:c>
      <x:c r="J12" s="21" t="n">
        <x:f>OpEx!J$11</x:f>
        <x:v>168.50351828765585</x:v>
      </x:c>
      <x:c r="K12" s="21" t="n">
        <x:f>OpEx!K$11</x:f>
        <x:v>180.0869234789407</x:v>
      </x:c>
      <x:c r="L12" s="21" t="n">
        <x:f>OpEx!L$11</x:f>
        <x:v>192.4231520260628</x:v>
      </x:c>
      <x:c r="M12" s="21" t="n">
        <x:f>OpEx!M$11</x:f>
        <x:v>205.50799511361015</x:v>
      </x:c>
      <x:c r="N12" s="21" t="n">
        <x:f>OpEx!N$11</x:f>
        <x:v>219.33726929451754</x:v>
      </x:c>
    </x:row>
    <x:row r="13" ht="13.5" customHeight="1">
      <x:c r="B13" s="19" t="s">
        <x:v>105</x:v>
      </x:c>
      <x:c r="C13" s="21" t="n">
        <x:f>OpEx!C$14</x:f>
        <x:v>12.303</x:v>
      </x:c>
      <x:c r="D13" s="21" t="n">
        <x:f>OpEx!D$14</x:f>
        <x:v>12.976932000000001</x:v>
      </x:c>
      <x:c r="E13" s="21" t="n">
        <x:f>OpEx!E$14</x:f>
        <x:v>14.017333908000001</x:v>
      </x:c>
      <x:c r="F13" s="21" t="n">
        <x:f>OpEx!F$14</x:f>
        <x:v>15.419783823552002</x:v>
      </x:c>
      <x:c r="G13" s="21" t="n">
        <x:f>OpEx!G$14</x:f>
        <x:v>16.81381903961069</x:v>
      </x:c>
      <x:c r="H13" s="21" t="n">
        <x:f>OpEx!H$14</x:f>
        <x:v>18.19949004437303</x:v>
      </x:c>
      <x:c r="I13" s="21" t="n">
        <x:f>OpEx!I$14</x:f>
        <x:v>19.576847023106787</x:v>
      </x:c>
      <x:c r="J13" s="21" t="n">
        <x:f>OpEx!J$14</x:f>
        <x:v>20.94593985996815</x:v>
      </x:c>
      <x:c r="K13" s="21" t="n">
        <x:f>OpEx!K$14</x:f>
        <x:v>22.306818139808342</x:v>
      </x:c>
      <x:c r="L13" s="21" t="n">
        <x:f>OpEx!L$14</x:f>
        <x:v>23.659531149969492</x:v>
      </x:c>
      <x:c r="M13" s="21" t="n">
        <x:f>OpEx!M$14</x:f>
        <x:v>25.004127882069678</x:v>
      </x:c>
      <x:c r="N13" s="21" t="n">
        <x:f>OpEx!N$14</x:f>
        <x:v>26.340657033777255</x:v>
      </x:c>
    </x:row>
    <x:row r="14" ht="13.5" customHeight="1">
      <x:c r="B14" s="19" t="s">
        <x:v>215</x:v>
      </x:c>
      <x:c r="C14" s="31" t="n">
        <x:f t="shared" ref="C14:N14" si="1">SUM(C12:C13)</x:f>
        <x:v>120.34346759999998</x:v>
      </x:c>
      <x:c r="D14" s="31">
        <x:f t="shared" si="1"/>
        <x:v>127.82453236320968</x:v>
      </x:c>
      <x:c r="E14" s="31">
        <x:f t="shared" si="1"/>
        <x:v>136.04528026706578</x:v>
      </x:c>
      <x:c r="F14" s="31">
        <x:f t="shared" si="1"/>
        <x:v>145.20298770351849</x:v>
      </x:c>
      <x:c r="G14" s="31">
        <x:f t="shared" si="1"/>
        <x:v>155.12653378902456</x:v>
      </x:c>
      <x:c r="H14" s="31">
        <x:f t="shared" si="1"/>
        <x:v>165.81163103978938</x:v>
      </x:c>
      <x:c r="I14" s="31">
        <x:f t="shared" si="1"/>
        <x:v>177.25401781215925</x:v>
      </x:c>
      <x:c r="J14" s="31">
        <x:f t="shared" si="1"/>
        <x:v>189.449458147624</x:v>
      </x:c>
      <x:c r="K14" s="31">
        <x:f t="shared" si="1"/>
        <x:v>202.39374161874903</x:v>
      </x:c>
      <x:c r="L14" s="31">
        <x:f t="shared" si="1"/>
        <x:v>216.0826831760323</x:v>
      </x:c>
      <x:c r="M14" s="31">
        <x:f t="shared" si="1"/>
        <x:v>230.51212299567982</x:v>
      </x:c>
      <x:c r="N14" s="31">
        <x:f t="shared" si="1"/>
        <x:v>245.6779263282948</x:v>
      </x:c>
    </x:row>
    <x:row r="15" ht="13.5" customHeight="1">
      <x:c r="B15" s="22" t="s">
        <x:v>216</x:v>
      </x:c>
      <x:c r="C15" s="23" t="n">
        <x:f t="shared" ref="C15:N15" si="2">C10-C14</x:f>
        <x:v>507.22135239999994</x:v>
      </x:c>
      <x:c r="D15" s="23">
        <x:f t="shared" si="2"/>
        <x:v>539.05531854351079</x:v>
      </x:c>
      <x:c r="E15" s="23">
        <x:f t="shared" si="2"/>
        <x:v>573.03738596774406</x:v>
      </x:c>
      <x:c r="F15" s="23">
        <x:f t="shared" si="2"/>
        <x:v>610.08099790418873</x:v>
      </x:c>
      <x:c r="G15" s="23">
        <x:f t="shared" si="2"/>
        <x:v>650.64147935129859</x:v>
      </x:c>
      <x:c r="H15" s="23">
        <x:f t="shared" si="2"/>
        <x:v>694.69913014446377</x:v>
      </x:c>
      <x:c r="I15" s="23">
        <x:f t="shared" si="2"/>
        <x:v>742.23436884503622</x:v>
      </x:c>
      <x:c r="J15" s="23">
        <x:f t="shared" si="2"/>
        <x:v>793.22773202817109</x:v>
      </x:c>
      <x:c r="K15" s="23">
        <x:f t="shared" si="2"/>
        <x:v>847.65987357494021</x:v>
      </x:c>
      <x:c r="L15" s="23">
        <x:f t="shared" si="2"/>
        <x:v>905.51156396869328</x:v>
      </x:c>
      <x:c r="M15" s="23">
        <x:f t="shared" si="2"/>
        <x:v>966.76368959564252</x:v>
      </x:c>
      <x:c r="N15" s="23">
        <x:f t="shared" si="2"/>
        <x:v>1031.3972520496409</x:v>
      </x:c>
    </x:row>
    <x:row r="16" ht="13.5" customHeight="1">
      <x:c r="B16" s="19" t="s">
        <x:v>217</x:v>
      </x:c>
      <x:c r="C16" s="38" t="n">
        <x:f t="shared" ref="C16:N16" si="3">IFERROR(C15/C10,0)</x:f>
        <x:v>0.8082373903623215</x:v>
      </x:c>
      <x:c r="D16" s="38">
        <x:f t="shared" si="3"/>
        <x:v>0.80832449475057078</x:v>
      </x:c>
      <x:c r="E16" s="38">
        <x:f t="shared" si="3"/>
        <x:v>0.80813904112272439</x:v>
      </x:c>
      <x:c r="F16" s="38">
        <x:f t="shared" si="3"/>
        <x:v>0.80775047469504191</x:v>
      </x:c>
      <x:c r="G16" s="38">
        <x:f t="shared" si="3"/>
        <x:v>0.80747990580508489</x:v>
      </x:c>
      <x:c r="H16" s="38">
        <x:f t="shared" si="3"/>
        <x:v>0.80731021793196878</x:v>
      </x:c>
      <x:c r="I16" s="38">
        <x:f t="shared" si="3"/>
        <x:v>0.80722538709100267</x:v>
      </x:c>
      <x:c r="J16" s="38">
        <x:f t="shared" si="3"/>
        <x:v>0.80721089281238667</x:v>
      </x:c>
      <x:c r="K16" s="38">
        <x:f t="shared" si="3"/>
        <x:v>0.80725389761986943</x:v>
      </x:c>
      <x:c r="L16" s="38">
        <x:f t="shared" si="3"/>
        <x:v>0.80734326720547989</x:v>
      </x:c>
      <x:c r="M16" s="38">
        <x:f t="shared" si="3"/>
        <x:v>0.80746948984397238</x:v>
      </x:c>
      <x:c r="N16" s="38">
        <x:f t="shared" si="3"/>
        <x:v>0.80762453887770314</x:v>
      </x:c>
    </x:row>
    <x:row r="17" ht="13.5" customHeight="1">
      <x:c r="B17" s="19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</x:row>
    <x:row r="18" ht="13.5" customHeight="1">
      <x:c r="B18" s="19" t="s">
        <x:v>35</x:v>
      </x:c>
      <x:c r="C18" s="21" t="n">
        <x:f>OpEx!C$25</x:f>
        <x:v>702.7887499999999</x:v>
      </x:c>
      <x:c r="D18" s="21" t="n">
        <x:f>OpEx!D$25</x:f>
        <x:v>738.2595175</x:v>
      </x:c>
      <x:c r="E18" s="21" t="n">
        <x:f>OpEx!E$25</x:f>
        <x:v>773.517460395</x:v>
      </x:c>
      <x:c r="F18" s="21" t="n">
        <x:f>OpEx!F$25</x:f>
        <x:v>808.5638556326301</x:v>
      </x:c>
      <x:c r="G18" s="21" t="n">
        <x:f>OpEx!G$25</x:f>
        <x:v>843.3999724988342</x:v>
      </x:c>
      <x:c r="H18" s="21" t="n">
        <x:f>OpEx!H$25</x:f>
        <x:v>878.0270726638411</x:v>
      </x:c>
      <x:c r="I18" s="21" t="n">
        <x:f>OpEx!I$25</x:f>
        <x:v>912.4464102278582</x:v>
      </x:c>
      <x:c r="J18" s="21" t="n">
        <x:f>OpEx!J$25</x:f>
        <x:v>946.659231766491</x:v>
      </x:c>
      <x:c r="K18" s="21" t="n">
        <x:f>OpEx!K$25</x:f>
        <x:v>980.666776375892</x:v>
      </x:c>
      <x:c r="L18" s="21" t="n">
        <x:f>OpEx!L$25</x:f>
        <x:v>1014.4702757176366</x:v>
      </x:c>
      <x:c r="M18" s="21" t="n">
        <x:f>OpEx!M$25</x:f>
        <x:v>1048.0709540633309</x:v>
      </x:c>
      <x:c r="N18" s="21" t="n">
        <x:f>OpEx!N$25</x:f>
        <x:v>1081.470028338951</x:v>
      </x:c>
    </x:row>
    <x:row r="19" ht="13.5" customHeight="1">
      <x:c r="B19" s="19" t="s">
        <x:v>218</x:v>
      </x:c>
      <x:c r="C19" s="21" t="n">
        <x:f>OpEx!C$32</x:f>
        <x:v>440</x:v>
      </x:c>
      <x:c r="D19" s="21" t="n">
        <x:f>OpEx!D$32</x:f>
        <x:v>440</x:v>
      </x:c>
      <x:c r="E19" s="21" t="n">
        <x:f>OpEx!E$32</x:f>
        <x:v>440</x:v>
      </x:c>
      <x:c r="F19" s="21" t="n">
        <x:f>OpEx!F$32</x:f>
        <x:v>440</x:v>
      </x:c>
      <x:c r="G19" s="21" t="n">
        <x:f>OpEx!G$32</x:f>
        <x:v>440</x:v>
      </x:c>
      <x:c r="H19" s="21" t="n">
        <x:f>OpEx!H$32</x:f>
        <x:v>440</x:v>
      </x:c>
      <x:c r="I19" s="21" t="n">
        <x:f>OpEx!I$32</x:f>
        <x:v>440</x:v>
      </x:c>
      <x:c r="J19" s="21" t="n">
        <x:f>OpEx!J$32</x:f>
        <x:v>440</x:v>
      </x:c>
      <x:c r="K19" s="21" t="n">
        <x:f>OpEx!K$32</x:f>
        <x:v>440</x:v>
      </x:c>
      <x:c r="L19" s="21" t="n">
        <x:f>OpEx!L$32</x:f>
        <x:v>440</x:v>
      </x:c>
      <x:c r="M19" s="21" t="n">
        <x:f>OpEx!M$32</x:f>
        <x:v>440</x:v>
      </x:c>
      <x:c r="N19" s="21" t="n">
        <x:f>OpEx!N$32</x:f>
        <x:v>440</x:v>
      </x:c>
    </x:row>
    <x:row r="20" ht="13.5" customHeight="1">
      <x:c r="B20" s="19" t="s">
        <x:v>219</x:v>
      </x:c>
      <x:c r="C20" s="31" t="n">
        <x:f t="shared" ref="C20:N20" si="4">SUM(C18:C19)</x:f>
        <x:v>1142.78875</x:v>
      </x:c>
      <x:c r="D20" s="31">
        <x:f t="shared" si="4"/>
        <x:v>1178.2595175000001</x:v>
      </x:c>
      <x:c r="E20" s="31">
        <x:f t="shared" si="4"/>
        <x:v>1213.5174603949999</x:v>
      </x:c>
      <x:c r="F20" s="31">
        <x:f t="shared" si="4"/>
        <x:v>1248.5638556326301</x:v>
      </x:c>
      <x:c r="G20" s="31">
        <x:f t="shared" si="4"/>
        <x:v>1283.3999724988344</x:v>
      </x:c>
      <x:c r="H20" s="31">
        <x:f t="shared" si="4"/>
        <x:v>1318.027072663841</x:v>
      </x:c>
      <x:c r="I20" s="31">
        <x:f t="shared" si="4"/>
        <x:v>1352.4464102278582</x:v>
      </x:c>
      <x:c r="J20" s="31">
        <x:f t="shared" si="4"/>
        <x:v>1386.6592317664908</x:v>
      </x:c>
      <x:c r="K20" s="31">
        <x:f t="shared" si="4"/>
        <x:v>1420.6667763758919</x:v>
      </x:c>
      <x:c r="L20" s="31">
        <x:f t="shared" si="4"/>
        <x:v>1454.4702757176365</x:v>
      </x:c>
      <x:c r="M20" s="31">
        <x:f t="shared" si="4"/>
        <x:v>1488.0709540633309</x:v>
      </x:c>
      <x:c r="N20" s="31">
        <x:f t="shared" si="4"/>
        <x:v>1521.4700283389509</x:v>
      </x:c>
    </x:row>
    <x:row r="21" ht="13.5" customHeight="1">
      <x:c r="B21" s="22" t="s">
        <x:v>39</x:v>
      </x:c>
      <x:c r="C21" s="23" t="n">
        <x:f t="shared" ref="C21:N21" si="5">C15-C20</x:f>
        <x:v>-635.5673976</x:v>
      </x:c>
      <x:c r="D21" s="23">
        <x:f t="shared" si="5"/>
        <x:v>-639.20419895648934</x:v>
      </x:c>
      <x:c r="E21" s="23">
        <x:f t="shared" si="5"/>
        <x:v>-640.48007442725589</x:v>
      </x:c>
      <x:c r="F21" s="23">
        <x:f t="shared" si="5"/>
        <x:v>-638.48285772844133</x:v>
      </x:c>
      <x:c r="G21" s="23">
        <x:f t="shared" si="5"/>
        <x:v>-632.75849314753577</x:v>
      </x:c>
      <x:c r="H21" s="23">
        <x:f t="shared" si="5"/>
        <x:v>-623.32794251937719</x:v>
      </x:c>
      <x:c r="I21" s="23">
        <x:f t="shared" si="5"/>
        <x:v>-610.21204138282201</x:v>
      </x:c>
      <x:c r="J21" s="23">
        <x:f t="shared" si="5"/>
        <x:v>-593.43149973831976</x:v>
      </x:c>
      <x:c r="K21" s="23">
        <x:f t="shared" si="5"/>
        <x:v>-573.00690280095171</x:v>
      </x:c>
      <x:c r="L21" s="23">
        <x:f t="shared" si="5"/>
        <x:v>-548.95871174894319</x:v>
      </x:c>
      <x:c r="M21" s="23">
        <x:f t="shared" si="5"/>
        <x:v>-521.30726446768836</x:v>
      </x:c>
      <x:c r="N21" s="23">
        <x:f t="shared" si="5"/>
        <x:v>-490.07277628931001</x:v>
      </x:c>
    </x:row>
    <x:row r="22" ht="13.5" customHeight="1">
      <x:c r="B22" s="19" t="s">
        <x:v>220</x:v>
      </x:c>
      <x:c r="C22" s="38" t="n">
        <x:f t="shared" ref="C22:N22" si="6">IFERROR(C21/C10,0)</x:f>
        <x:v>-1.0127517944680202</x:v>
      </x:c>
      <x:c r="D22" s="38">
        <x:f t="shared" si="6"/>
        <x:v>-0.95849979285983522</x:v>
      </x:c>
      <x:c r="E22" s="38">
        <x:f t="shared" si="6"/>
        <x:v>-0.90325163048783863</x:v>
      </x:c>
      <x:c r="F22" s="38">
        <x:f t="shared" si="6"/>
        <x:v>-0.84535468763409993</x:v>
      </x:c>
      <x:c r="G22" s="38">
        <x:f t="shared" si="6"/>
        <x:v>-0.78528619010511891</x:v>
      </x:c>
      <x:c r="H22" s="38">
        <x:f t="shared" si="6"/>
        <x:v>-0.72436972393179611</x:v>
      </x:c>
      <x:c r="I22" s="38">
        <x:f t="shared" si="6"/>
        <x:v>-0.66364301087178579</x:v>
      </x:c>
      <x:c r="J22" s="38">
        <x:f t="shared" si="6"/>
        <x:v>-0.60389261669150818</x:v>
      </x:c>
      <x:c r="K22" s="38">
        <x:f t="shared" si="6"/>
        <x:v>-0.5456929955859986</x:v>
      </x:c>
      <x:c r="L22" s="38">
        <x:f t="shared" si="6"/>
        <x:v>-0.48944501377966498</x:v>
      </x:c>
      <x:c r="M22" s="38">
        <x:f t="shared" si="6"/>
        <x:v>-0.43541117174947153</x:v>
      </x:c>
      <x:c r="N22" s="38">
        <x:f t="shared" si="6"/>
        <x:v>-0.38374622307808925</x:v>
      </x:c>
    </x:row>
    <x:row r="23" ht="13.5" customHeight="1">
      <x:c r="B23" s="19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 ht="13.5" customHeight="1">
      <x:c r="B24" s="19" t="s">
        <x:v>221</x:v>
      </x:c>
      <x:c r="C24" s="21" t="n">
        <x:f>'FA &amp; D&amp;A'!C$17</x:f>
        <x:v>27.22222222222222</x:v>
      </x:c>
      <x:c r="D24" s="21" t="n">
        <x:f>'FA &amp; D&amp;A'!D$17</x:f>
        <x:v>29.444444444444443</x:v>
      </x:c>
      <x:c r="E24" s="21" t="n">
        <x:f>'FA &amp; D&amp;A'!E$17</x:f>
        <x:v>31.666666666666668</x:v>
      </x:c>
      <x:c r="F24" s="21" t="n">
        <x:f>'FA &amp; D&amp;A'!F$17</x:f>
        <x:v>33.888888888888886</x:v>
      </x:c>
      <x:c r="G24" s="21" t="n">
        <x:f>'FA &amp; D&amp;A'!G$17</x:f>
        <x:v>36.111111111111114</x:v>
      </x:c>
      <x:c r="H24" s="21" t="n">
        <x:f>'FA &amp; D&amp;A'!H$17</x:f>
        <x:v>38.333333333333336</x:v>
      </x:c>
      <x:c r="I24" s="21" t="n">
        <x:f>'FA &amp; D&amp;A'!I$17</x:f>
        <x:v>40.55555555555556</x:v>
      </x:c>
      <x:c r="J24" s="21" t="n">
        <x:f>'FA &amp; D&amp;A'!J$17</x:f>
        <x:v>42.77777777777778</x:v>
      </x:c>
      <x:c r="K24" s="21" t="n">
        <x:f>'FA &amp; D&amp;A'!K$17</x:f>
        <x:v>45</x:v>
      </x:c>
      <x:c r="L24" s="21" t="n">
        <x:f>'FA &amp; D&amp;A'!L$17</x:f>
        <x:v>47.22222222222222</x:v>
      </x:c>
      <x:c r="M24" s="21" t="n">
        <x:f>'FA &amp; D&amp;A'!M$17</x:f>
        <x:v>49.44444444444444</x:v>
      </x:c>
      <x:c r="N24" s="21" t="n">
        <x:f>'FA &amp; D&amp;A'!N$17</x:f>
        <x:v>51.66666666666667</x:v>
      </x:c>
    </x:row>
    <x:row r="25" ht="13.5" customHeight="1">
      <x:c r="B25" s="19" t="s">
        <x:v>222</x:v>
      </x:c>
      <x:c r="C25" s="31" t="n">
        <x:f t="shared" ref="C25:N25" si="7">C21-C24</x:f>
        <x:v>-662.7896198222222</x:v>
      </x:c>
      <x:c r="D25" s="31">
        <x:f t="shared" si="7"/>
        <x:v>-668.64864340093379</x:v>
      </x:c>
      <x:c r="E25" s="31">
        <x:f t="shared" si="7"/>
        <x:v>-672.14674109392251</x:v>
      </x:c>
      <x:c r="F25" s="31">
        <x:f t="shared" si="7"/>
        <x:v>-672.37174661733025</x:v>
      </x:c>
      <x:c r="G25" s="31">
        <x:f t="shared" si="7"/>
        <x:v>-668.86960425864686</x:v>
      </x:c>
      <x:c r="H25" s="31">
        <x:f t="shared" si="7"/>
        <x:v>-661.66127585271056</x:v>
      </x:c>
      <x:c r="I25" s="31">
        <x:f t="shared" si="7"/>
        <x:v>-650.76759693837755</x:v>
      </x:c>
      <x:c r="J25" s="31">
        <x:f t="shared" si="7"/>
        <x:v>-636.20927751609759</x:v>
      </x:c>
      <x:c r="K25" s="31">
        <x:f t="shared" si="7"/>
        <x:v>-618.00690280095171</x:v>
      </x:c>
      <x:c r="L25" s="31">
        <x:f t="shared" si="7"/>
        <x:v>-596.18093397116536</x:v>
      </x:c>
      <x:c r="M25" s="31">
        <x:f t="shared" si="7"/>
        <x:v>-570.75170891213281</x:v>
      </x:c>
      <x:c r="N25" s="31">
        <x:f t="shared" si="7"/>
        <x:v>-541.73944295597664</x:v>
      </x:c>
    </x:row>
    <x:row r="26" ht="13.5" customHeight="1">
      <x:c r="B26" s="19" t="s">
        <x:v>223</x:v>
      </x:c>
      <x:c r="C26" s="21" t="n">
        <x:f>'Fin, Tax &amp; Equity'!C$14</x:f>
        <x:v>9.833333333333334</x:v>
      </x:c>
      <x:c r="D26" s="21" t="n">
        <x:f>'Fin, Tax &amp; Equity'!D$14</x:f>
        <x:v>9.5</x:v>
      </x:c>
      <x:c r="E26" s="21" t="n">
        <x:f>'Fin, Tax &amp; Equity'!E$14</x:f>
        <x:v>9.166666666666666</x:v>
      </x:c>
      <x:c r="F26" s="21" t="n">
        <x:f>'Fin, Tax &amp; Equity'!F$14</x:f>
        <x:v>8.833333333333334</x:v>
      </x:c>
      <x:c r="G26" s="21" t="n">
        <x:f>'Fin, Tax &amp; Equity'!G$14</x:f>
        <x:v>8.5</x:v>
      </x:c>
      <x:c r="H26" s="21" t="n">
        <x:f>'Fin, Tax &amp; Equity'!H$14</x:f>
        <x:v>8.166666666666666</x:v>
      </x:c>
      <x:c r="I26" s="21" t="n">
        <x:f>'Fin, Tax &amp; Equity'!I$14</x:f>
        <x:v>7.833333333333333</x:v>
      </x:c>
      <x:c r="J26" s="21" t="n">
        <x:f>'Fin, Tax &amp; Equity'!J$14</x:f>
        <x:v>7.5</x:v>
      </x:c>
      <x:c r="K26" s="21" t="n">
        <x:f>'Fin, Tax &amp; Equity'!K$14</x:f>
        <x:v>7.166666666666667</x:v>
      </x:c>
      <x:c r="L26" s="21" t="n">
        <x:f>'Fin, Tax &amp; Equity'!L$14</x:f>
        <x:v>6.833333333333333</x:v>
      </x:c>
      <x:c r="M26" s="21" t="n">
        <x:f>'Fin, Tax &amp; Equity'!M$14</x:f>
        <x:v>6.5</x:v>
      </x:c>
      <x:c r="N26" s="21" t="n">
        <x:f>'Fin, Tax &amp; Equity'!N$14</x:f>
        <x:v>6.166666666666667</x:v>
      </x:c>
    </x:row>
    <x:row r="27" ht="13.5" customHeight="1">
      <x:c r="B27" s="19" t="s">
        <x:v>224</x:v>
      </x:c>
      <x:c r="C27" s="31" t="n">
        <x:f t="shared" ref="C27:N27" si="8">C25-C26</x:f>
        <x:v>-672.6229531555556</x:v>
      </x:c>
      <x:c r="D27" s="31">
        <x:f t="shared" si="8"/>
        <x:v>-678.14864340093379</x:v>
      </x:c>
      <x:c r="E27" s="31">
        <x:f t="shared" si="8"/>
        <x:v>-681.31340776058914</x:v>
      </x:c>
      <x:c r="F27" s="31">
        <x:f t="shared" si="8"/>
        <x:v>-681.20507995066362</x:v>
      </x:c>
      <x:c r="G27" s="31">
        <x:f t="shared" si="8"/>
        <x:v>-677.36960425864686</x:v>
      </x:c>
      <x:c r="H27" s="31">
        <x:f t="shared" si="8"/>
        <x:v>-669.82794251937719</x:v>
      </x:c>
      <x:c r="I27" s="31">
        <x:f t="shared" si="8"/>
        <x:v>-658.60093027171092</x:v>
      </x:c>
      <x:c r="J27" s="31">
        <x:f t="shared" si="8"/>
        <x:v>-643.70927751609759</x:v>
      </x:c>
      <x:c r="K27" s="31">
        <x:f t="shared" si="8"/>
        <x:v>-625.17356946761834</x:v>
      </x:c>
      <x:c r="L27" s="31">
        <x:f t="shared" si="8"/>
        <x:v>-603.01426730449873</x:v>
      </x:c>
      <x:c r="M27" s="31">
        <x:f t="shared" si="8"/>
        <x:v>-577.25170891213281</x:v>
      </x:c>
      <x:c r="N27" s="31">
        <x:f t="shared" si="8"/>
        <x:v>-547.90610962264327</x:v>
      </x:c>
    </x:row>
    <x:row r="28" ht="13.5" customHeight="1">
      <x:c r="B28" s="19" t="s">
        <x:v>225</x:v>
      </x:c>
      <x:c r="C28" s="21" t="n">
        <x:f>'Fin, Tax &amp; Equity'!C$21</x:f>
        <x:v>0</x:v>
      </x:c>
      <x:c r="D28" s="21" t="n">
        <x:f>'Fin, Tax &amp; Equity'!D$21</x:f>
        <x:v>0</x:v>
      </x:c>
      <x:c r="E28" s="21" t="n">
        <x:f>'Fin, Tax &amp; Equity'!E$21</x:f>
        <x:v>0</x:v>
      </x:c>
      <x:c r="F28" s="21" t="n">
        <x:f>'Fin, Tax &amp; Equity'!F$21</x:f>
        <x:v>0</x:v>
      </x:c>
      <x:c r="G28" s="21" t="n">
        <x:f>'Fin, Tax &amp; Equity'!G$21</x:f>
        <x:v>0</x:v>
      </x:c>
      <x:c r="H28" s="21" t="n">
        <x:f>'Fin, Tax &amp; Equity'!H$21</x:f>
        <x:v>0</x:v>
      </x:c>
      <x:c r="I28" s="21" t="n">
        <x:f>'Fin, Tax &amp; Equity'!I$21</x:f>
        <x:v>0</x:v>
      </x:c>
      <x:c r="J28" s="21" t="n">
        <x:f>'Fin, Tax &amp; Equity'!J$21</x:f>
        <x:v>0</x:v>
      </x:c>
      <x:c r="K28" s="21" t="n">
        <x:f>'Fin, Tax &amp; Equity'!K$21</x:f>
        <x:v>0</x:v>
      </x:c>
      <x:c r="L28" s="21" t="n">
        <x:f>'Fin, Tax &amp; Equity'!L$21</x:f>
        <x:v>0</x:v>
      </x:c>
      <x:c r="M28" s="21" t="n">
        <x:f>'Fin, Tax &amp; Equity'!M$21</x:f>
        <x:v>0</x:v>
      </x:c>
      <x:c r="N28" s="21" t="n">
        <x:f>'Fin, Tax &amp; Equity'!N$21</x:f>
        <x:v>0</x:v>
      </x:c>
    </x:row>
    <x:row r="29" ht="13.5" customHeight="1">
      <x:c r="B29" s="22" t="s">
        <x:v>226</x:v>
      </x:c>
      <x:c r="C29" s="23" t="n">
        <x:f t="shared" ref="C29:N29" si="9">C27-C28</x:f>
        <x:v>-672.6229531555556</x:v>
      </x:c>
      <x:c r="D29" s="23">
        <x:f t="shared" si="9"/>
        <x:v>-678.14864340093379</x:v>
      </x:c>
      <x:c r="E29" s="23">
        <x:f t="shared" si="9"/>
        <x:v>-681.31340776058914</x:v>
      </x:c>
      <x:c r="F29" s="23">
        <x:f t="shared" si="9"/>
        <x:v>-681.20507995066362</x:v>
      </x:c>
      <x:c r="G29" s="23">
        <x:f t="shared" si="9"/>
        <x:v>-677.36960425864686</x:v>
      </x:c>
      <x:c r="H29" s="23">
        <x:f t="shared" si="9"/>
        <x:v>-669.82794251937719</x:v>
      </x:c>
      <x:c r="I29" s="23">
        <x:f t="shared" si="9"/>
        <x:v>-658.60093027171092</x:v>
      </x:c>
      <x:c r="J29" s="23">
        <x:f t="shared" si="9"/>
        <x:v>-643.70927751609759</x:v>
      </x:c>
      <x:c r="K29" s="23">
        <x:f t="shared" si="9"/>
        <x:v>-625.17356946761834</x:v>
      </x:c>
      <x:c r="L29" s="23">
        <x:f t="shared" si="9"/>
        <x:v>-603.01426730449873</x:v>
      </x:c>
      <x:c r="M29" s="23">
        <x:f t="shared" si="9"/>
        <x:v>-577.25170891213281</x:v>
      </x:c>
      <x:c r="N29" s="23">
        <x:f t="shared" si="9"/>
        <x:v>-547.90610962264327</x:v>
      </x:c>
    </x:row>
    <x:row r="30" ht="13.5" customHeight="1">
      <x:c r="B30" s="19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 ht="13.5" customHeight="1">
      <x:c r="B31" s="19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 ht="13.5" customHeight="1">
      <x:c r="B32" s="19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</x:row>
    <x:row r="33" s="51" customFormat="1" ht="13.5" customHeight="1"/>
    <x:row r="34" s="51" customFormat="1" ht="13.5" customHeight="1"/>
    <x:row r="35" s="51" customFormat="1" ht="13.5" customHeight="1"/>
    <x:row r="36" s="51" customFormat="1" ht="13.5" customHeight="1"/>
    <x:row r="37" s="51" customFormat="1" ht="13.5" customHeight="1"/>
    <x:row r="38" s="51" customFormat="1" ht="13.5" customHeight="1"/>
    <x:row r="39" s="51" customFormat="1" ht="13.5" customHeight="1"/>
    <x:row r="40" s="51" customFormat="1" ht="13.5" customHeight="1"/>
    <x:row r="41" s="51" customFormat="1" ht="13.5" customHeight="1"/>
    <x:row r="42" s="51" customFormat="1" ht="13.5" customHeight="1"/>
    <x:row r="43" s="51" customFormat="1" ht="13.5" customHeight="1"/>
    <x:row r="44" s="51" customFormat="1" ht="13.5" customHeight="1"/>
    <x:row r="45" s="51" customFormat="1" ht="13.5" customHeight="1"/>
    <x:row r="46" s="51" customFormat="1" ht="13.5" customHeight="1"/>
    <x:row r="47" s="51" customFormat="1" ht="13.5" customHeight="1"/>
    <x:row r="48" s="51" customFormat="1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2:N3"/>
    <x:mergeCell ref="B4:N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208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227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6" ht="13.5" customHeight="1">
      <x:c r="B6" s="50" t="s">
        <x:v>211</x:v>
      </x:c>
      <x:c r="C6" s="49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66" t="s">
        <x:v>228</x:v>
      </x:c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8"/>
    </x:row>
    <x:row r="9" ht="13.5" customHeight="1">
      <x:c r="B9" s="19" t="s">
        <x:v>229</x:v>
      </x:c>
      <x:c r="C9" s="21" t="n">
        <x:f>CF!C$34</x:f>
        <x:v>4427.787062750877</x:v>
      </x:c>
      <x:c r="D9" s="21" t="n">
        <x:f>CF!D$34</x:f>
        <x:v>4040.044318442212</x:v>
      </x:c>
      <x:c r="E9" s="21" t="n">
        <x:f>CF!E$34</x:f>
        <x:v>3646.2752665000457</x:v>
      </x:c>
      <x:c r="F9" s="21" t="n">
        <x:f>CF!F$34</x:f>
        <x:v>3258.384875097866</x:v>
      </x:c>
      <x:c r="G9" s="21" t="n">
        <x:f>CF!G$34</x:f>
        <x:v>2874.9009907342006</x:v>
      </x:c>
      <x:c r="H9" s="21" t="n">
        <x:f>CF!H$34</x:f>
        <x:v>2494.9772915572917</x:v>
      </x:c>
      <x:c r="I9" s="21" t="n">
        <x:f>CF!I$34</x:f>
        <x:v>2117.772225687001</x:v>
      </x:c>
      <x:c r="J9" s="21" t="n">
        <x:f>CF!J$34</x:f>
        <x:v>1742.4489824795949</x:v>
      </x:c>
      <x:c r="K9" s="21" t="n">
        <x:f>CF!K$34</x:f>
        <x:v>1368.1754639648798</x:v>
      </x:c>
      <x:c r="L9" s="21" t="n">
        <x:f>CF!L$34</x:f>
        <x:v>994.1242564546923</x:v>
      </x:c>
      <x:c r="M9" s="21" t="n">
        <x:f>CF!M$34</x:f>
        <x:v>619.4726023216778</x:v>
      </x:c>
      <x:c r="N9" s="21" t="n">
        <x:f>CF!N$34</x:f>
        <x:v>243.40237194736096</x:v>
      </x:c>
    </x:row>
    <x:row r="10" ht="13.5" customHeight="1">
      <x:c r="B10" s="19" t="s">
        <x:v>230</x:v>
      </x:c>
      <x:c r="C10" s="21" t="n">
        <x:f>WC!C$11</x:f>
        <x:v>928.961082236842</x:v>
      </x:c>
      <x:c r="D10" s="21" t="n">
        <x:f>WC!D$11</x:f>
        <x:v>987.1576740395533</x:v>
      </x:c>
      <x:c r="E10" s="21" t="n">
        <x:f>WC!E$11</x:f>
        <x:v>1049.6289467291592</x:v>
      </x:c>
      <x:c r="F10" s="21" t="n">
        <x:f>WC!F$11</x:f>
        <x:v>1118.0190576429877</x:v>
      </x:c>
      <x:c r="G10" s="21" t="n">
        <x:f>WC!G$11</x:f>
        <x:v>1192.7487036616626</x:v>
      </x:c>
      <x:c r="H10" s="21" t="n">
        <x:f>WC!H$11</x:f>
        <x:v>1273.7823767530062</x:v>
      </x:c>
      <x:c r="I10" s="21" t="n">
        <x:f>WC!I$11</x:f>
        <x:v>1361.084782880717</x:v>
      </x:c>
      <x:c r="J10" s="21" t="n">
        <x:f>WC!J$11</x:f>
        <x:v>1454.6208407207494</x:v>
      </x:c>
      <x:c r="K10" s="21" t="n">
        <x:f>WC!K$11</x:f>
        <x:v>1554.3556803853953</x:v>
      </x:c>
      <x:c r="L10" s="21" t="n">
        <x:f>WC!L$11</x:f>
        <x:v>1660.2546421550217</x:v>
      </x:c>
      <x:c r="M10" s="21" t="n">
        <x:f>WC!M$11</x:f>
        <x:v>1772.2832752174181</x:v>
      </x:c>
      <x:c r="N10" s="21" t="n">
        <x:f>WC!N$11</x:f>
        <x:v>1890.4073364147077</x:v>
      </x:c>
    </x:row>
    <x:row r="11" ht="13.5" customHeight="1">
      <x:c r="B11" s="19" t="s">
        <x:v>231</x:v>
      </x:c>
      <x:c r="C11" s="21" t="n">
        <x:f>WC!C$23</x:f>
        <x:v>22</x:v>
      </x:c>
      <x:c r="D11" s="21" t="n">
        <x:f>WC!D$23</x:f>
        <x:v>22</x:v>
      </x:c>
      <x:c r="E11" s="21" t="n">
        <x:f>WC!E$23</x:f>
        <x:v>22</x:v>
      </x:c>
      <x:c r="F11" s="21" t="n">
        <x:f>WC!F$23</x:f>
        <x:v>22</x:v>
      </x:c>
      <x:c r="G11" s="21" t="n">
        <x:f>WC!G$23</x:f>
        <x:v>22</x:v>
      </x:c>
      <x:c r="H11" s="21" t="n">
        <x:f>WC!H$23</x:f>
        <x:v>22</x:v>
      </x:c>
      <x:c r="I11" s="21" t="n">
        <x:f>WC!I$23</x:f>
        <x:v>22</x:v>
      </x:c>
      <x:c r="J11" s="21" t="n">
        <x:f>WC!J$23</x:f>
        <x:v>22</x:v>
      </x:c>
      <x:c r="K11" s="21" t="n">
        <x:f>WC!K$23</x:f>
        <x:v>22</x:v>
      </x:c>
      <x:c r="L11" s="21" t="n">
        <x:f>WC!L$23</x:f>
        <x:v>22</x:v>
      </x:c>
      <x:c r="M11" s="21" t="n">
        <x:f>WC!M$23</x:f>
        <x:v>22</x:v>
      </x:c>
      <x:c r="N11" s="21" t="n">
        <x:f>WC!N$23</x:f>
        <x:v>22</x:v>
      </x:c>
    </x:row>
    <x:row r="12" ht="13.5" customHeight="1">
      <x:c r="B12" s="19" t="s">
        <x:v>232</x:v>
      </x:c>
      <x:c r="C12" s="21" t="n">
        <x:f>'FA &amp; D&amp;A'!C$19</x:f>
        <x:v>952.7777777777778</x:v>
      </x:c>
      <x:c r="D12" s="21" t="n">
        <x:f>'FA &amp; D&amp;A'!D$19</x:f>
        <x:v>1003.3333333333333</x:v>
      </x:c>
      <x:c r="E12" s="21" t="n">
        <x:f>'FA &amp; D&amp;A'!E$19</x:f>
        <x:v>1051.6666666666665</x:v>
      </x:c>
      <x:c r="F12" s="21" t="n">
        <x:f>'FA &amp; D&amp;A'!F$19</x:f>
        <x:v>1097.7777777777778</x:v>
      </x:c>
      <x:c r="G12" s="21" t="n">
        <x:f>'FA &amp; D&amp;A'!G$19</x:f>
        <x:v>1141.6666666666665</x:v>
      </x:c>
      <x:c r="H12" s="21" t="n">
        <x:f>'FA &amp; D&amp;A'!H$19</x:f>
        <x:v>1183.3333333333333</x:v>
      </x:c>
      <x:c r="I12" s="21" t="n">
        <x:f>'FA &amp; D&amp;A'!I$19</x:f>
        <x:v>1222.7777777777778</x:v>
      </x:c>
      <x:c r="J12" s="21" t="n">
        <x:f>'FA &amp; D&amp;A'!J$19</x:f>
        <x:v>1260</x:v>
      </x:c>
      <x:c r="K12" s="21" t="n">
        <x:f>'FA &amp; D&amp;A'!K$19</x:f>
        <x:v>1295</x:v>
      </x:c>
      <x:c r="L12" s="21" t="n">
        <x:f>'FA &amp; D&amp;A'!L$19</x:f>
        <x:v>1327.7777777777778</x:v>
      </x:c>
      <x:c r="M12" s="21" t="n">
        <x:f>'FA &amp; D&amp;A'!M$19</x:f>
        <x:v>1358.3333333333333</x:v>
      </x:c>
      <x:c r="N12" s="21" t="n">
        <x:f>'FA &amp; D&amp;A'!N$19</x:f>
        <x:v>1386.6666666666665</x:v>
      </x:c>
    </x:row>
    <x:row r="13" ht="13.5" customHeight="1">
      <x:c r="B13" s="19" t="s">
        <x:v>233</x:v>
      </x:c>
      <x:c r="C13" s="35">
        <x:v>0</x:v>
      </x:c>
      <x:c r="D13" s="35">
        <x:v>0</x:v>
      </x:c>
      <x:c r="E13" s="35">
        <x:v>0</x:v>
      </x:c>
      <x:c r="F13" s="35">
        <x:v>0</x:v>
      </x:c>
      <x:c r="G13" s="35">
        <x:v>0</x:v>
      </x:c>
      <x:c r="H13" s="35">
        <x:v>0</x:v>
      </x:c>
      <x:c r="I13" s="35">
        <x:v>0</x:v>
      </x:c>
      <x:c r="J13" s="35">
        <x:v>0</x:v>
      </x:c>
      <x:c r="K13" s="35">
        <x:v>0</x:v>
      </x:c>
      <x:c r="L13" s="35">
        <x:v>0</x:v>
      </x:c>
      <x:c r="M13" s="35">
        <x:v>0</x:v>
      </x:c>
      <x:c r="N13" s="35">
        <x:v>0</x:v>
      </x:c>
    </x:row>
    <x:row r="14" ht="13.5" customHeight="1">
      <x:c r="B14" s="22" t="s">
        <x:v>234</x:v>
      </x:c>
      <x:c r="C14" s="23" t="n">
        <x:f t="shared" ref="C14:N14" si="0">SUM(C9:C13)</x:f>
        <x:v>6331.525922765497</x:v>
      </x:c>
      <x:c r="D14" s="23">
        <x:f t="shared" si="0"/>
        <x:v>6052.5353258150981</x:v>
      </x:c>
      <x:c r="E14" s="23">
        <x:f t="shared" si="0"/>
        <x:v>5769.5708798958713</x:v>
      </x:c>
      <x:c r="F14" s="23">
        <x:f t="shared" si="0"/>
        <x:v>5496.181710518631</x:v>
      </x:c>
      <x:c r="G14" s="23">
        <x:f t="shared" si="0"/>
        <x:v>5231.3163610625297</x:v>
      </x:c>
      <x:c r="H14" s="23">
        <x:f t="shared" si="0"/>
        <x:v>4974.0930016436314</x:v>
      </x:c>
      <x:c r="I14" s="23">
        <x:f t="shared" si="0"/>
        <x:v>4723.6347863454957</x:v>
      </x:c>
      <x:c r="J14" s="23">
        <x:f t="shared" si="0"/>
        <x:v>4479.0698232003442</x:v>
      </x:c>
      <x:c r="K14" s="23">
        <x:f t="shared" si="0"/>
        <x:v>4239.5311443502751</x:v>
      </x:c>
      <x:c r="L14" s="23">
        <x:f t="shared" si="0"/>
        <x:v>4004.1566763874916</x:v>
      </x:c>
      <x:c r="M14" s="23">
        <x:f t="shared" si="0"/>
        <x:v>3772.0892108724292</x:v>
      </x:c>
      <x:c r="N14" s="23">
        <x:f t="shared" si="0"/>
        <x:v>3542.4763750287352</x:v>
      </x:c>
    </x:row>
    <x:row r="15" ht="13.5" customHeight="1">
      <x:c r="B15" s="19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 ht="13.5" customHeight="1">
      <x:c r="B16" s="66" t="s">
        <x:v>235</x:v>
      </x:c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8"/>
    </x:row>
    <x:row r="17" ht="13.5" customHeight="1">
      <x:c r="B17" s="19" t="s">
        <x:v>236</x:v>
      </x:c>
      <x:c r="C17" s="21" t="n">
        <x:f>WC!C$17</x:f>
        <x:v>118.76000092105262</x:v>
      </x:c>
      <x:c r="D17" s="21" t="n">
        <x:f>WC!D$17</x:f>
        <x:v>126.14263062158851</x:v>
      </x:c>
      <x:c r="E17" s="21" t="n">
        <x:f>WC!E$17</x:f>
        <x:v>134.25521078986756</x:v>
      </x:c>
      <x:c r="F17" s="21" t="n">
        <x:f>WC!F$17</x:f>
        <x:v>143.29242207584062</x:v>
      </x:c>
      <x:c r="G17" s="21" t="n">
        <x:f>WC!G$17</x:f>
        <x:v>153.0853951865374</x:v>
      </x:c>
      <x:c r="H17" s="21" t="n">
        <x:f>WC!H$17</x:f>
        <x:v>163.62989905242372</x:v>
      </x:c>
      <x:c r="I17" s="21" t="n">
        <x:f>WC!I$17</x:f>
        <x:v>174.92172810410452</x:v>
      </x:c>
      <x:c r="J17" s="21" t="n">
        <x:f>WC!J$17</x:f>
        <x:v>186.95670211936581</x:v>
      </x:c>
      <x:c r="K17" s="21" t="n">
        <x:f>WC!K$17</x:f>
        <x:v>199.73066607113392</x:v>
      </x:c>
      <x:c r="L17" s="21" t="n">
        <x:f>WC!L$17</x:f>
        <x:v>213.23948997634767</x:v>
      </x:c>
      <x:c r="M17" s="21" t="n">
        <x:f>WC!M$17</x:f>
        <x:v>227.47906874573667</x:v>
      </x:c>
      <x:c r="N17" s="21" t="n">
        <x:f>WC!N$17</x:f>
        <x:v>242.44532203450146</x:v>
      </x:c>
    </x:row>
    <x:row r="18" ht="13.5" customHeight="1">
      <x:c r="B18" s="19" t="s">
        <x:v>237</x:v>
      </x:c>
      <x:c r="C18" s="21" t="n">
        <x:f>WC!C$29</x:f>
        <x:v>114.278875</x:v>
      </x:c>
      <x:c r="D18" s="21" t="n">
        <x:f>WC!D$29</x:f>
        <x:v>117.82595175000002</x:v>
      </x:c>
      <x:c r="E18" s="21" t="n">
        <x:f>WC!E$29</x:f>
        <x:v>121.3517460395</x:v>
      </x:c>
      <x:c r="F18" s="21" t="n">
        <x:f>WC!F$29</x:f>
        <x:v>124.85638556326302</x:v>
      </x:c>
      <x:c r="G18" s="21" t="n">
        <x:f>WC!G$29</x:f>
        <x:v>128.33999724988345</x:v>
      </x:c>
      <x:c r="H18" s="21" t="n">
        <x:f>WC!H$29</x:f>
        <x:v>131.8027072663841</x:v>
      </x:c>
      <x:c r="I18" s="21" t="n">
        <x:f>WC!I$29</x:f>
        <x:v>135.24464102278583</x:v>
      </x:c>
      <x:c r="J18" s="21" t="n">
        <x:f>WC!J$29</x:f>
        <x:v>138.6659231766491</x:v>
      </x:c>
      <x:c r="K18" s="21" t="n">
        <x:f>WC!K$29</x:f>
        <x:v>142.0666776375892</x:v>
      </x:c>
      <x:c r="L18" s="21" t="n">
        <x:f>WC!L$29</x:f>
        <x:v>145.44702757176364</x:v>
      </x:c>
      <x:c r="M18" s="21" t="n">
        <x:f>WC!M$29</x:f>
        <x:v>148.8070954063331</x:v>
      </x:c>
      <x:c r="N18" s="21" t="n">
        <x:f>WC!N$29</x:f>
        <x:v>152.1470028338951</x:v>
      </x:c>
    </x:row>
    <x:row r="19" ht="13.5" customHeight="1">
      <x:c r="B19" s="19" t="s">
        <x:v>238</x:v>
      </x:c>
      <x:c r="C19" s="21" t="n">
        <x:f>WC!C$36</x:f>
        <x:v>1051.1100000000001</x:v>
      </x:c>
      <x:c r="D19" s="21" t="n">
        <x:f>WC!D$36</x:f>
        <x:v>1489.3383399999998</x:v>
      </x:c>
      <x:c r="E19" s="21" t="n">
        <x:f>WC!E$36</x:f>
        <x:v>1926.0489273835828</x:v>
      </x:c>
      <x:c r="F19" s="21" t="n">
        <x:f>WC!F$36</x:f>
        <x:v>2371.3229871472704</x:v>
      </x:c>
      <x:c r="G19" s="21" t="n">
        <x:f>WC!G$36</x:f>
        <x:v>2820.5506571524984</x:v>
      </x:c>
      <x:c r="H19" s="21" t="n">
        <x:f>WC!H$36</x:f>
        <x:v>3269.14802637059</x:v>
      </x:c>
      <x:c r="I19" s="21" t="n">
        <x:f>WC!I$36</x:f>
        <x:v>3712.556978536083</x:v>
      </x:c>
      <x:c r="J19" s="21" t="n">
        <x:f>WC!J$36</x:f>
        <x:v>4146.245036737904</x:v>
      </x:c>
      <x:c r="K19" s="21" t="n">
        <x:f>WC!K$36</x:f>
        <x:v>4565.705208942745</x:v>
      </x:c>
      <x:c r="L19" s="21" t="n">
        <x:f>WC!L$36</x:f>
        <x:v>4966.4558344450725</x:v>
      </x:c>
      <x:c r="M19" s="21" t="n">
        <x:f>WC!M$36</x:f>
        <x:v>5344.040431238184</x:v>
      </x:c>
      <x:c r="N19" s="21" t="n">
        <x:f>WC!N$36</x:f>
        <x:v>5694.027544300807</x:v>
      </x:c>
    </x:row>
    <x:row r="20" ht="13.5" customHeight="1">
      <x:c r="B20" s="19" t="s">
        <x:v>239</x:v>
      </x:c>
      <x:c r="C20" s="21" t="n">
        <x:f>'Fin, Tax &amp; Equity'!C$12</x:f>
        <x:v>1450</x:v>
      </x:c>
      <x:c r="D20" s="21" t="n">
        <x:f>'Fin, Tax &amp; Equity'!D$12</x:f>
        <x:v>1400</x:v>
      </x:c>
      <x:c r="E20" s="21" t="n">
        <x:f>'Fin, Tax &amp; Equity'!E$12</x:f>
        <x:v>1350</x:v>
      </x:c>
      <x:c r="F20" s="21" t="n">
        <x:f>'Fin, Tax &amp; Equity'!F$12</x:f>
        <x:v>1300</x:v>
      </x:c>
      <x:c r="G20" s="21" t="n">
        <x:f>'Fin, Tax &amp; Equity'!G$12</x:f>
        <x:v>1250</x:v>
      </x:c>
      <x:c r="H20" s="21" t="n">
        <x:f>'Fin, Tax &amp; Equity'!H$12</x:f>
        <x:v>1200</x:v>
      </x:c>
      <x:c r="I20" s="21" t="n">
        <x:f>'Fin, Tax &amp; Equity'!I$12</x:f>
        <x:v>1150</x:v>
      </x:c>
      <x:c r="J20" s="21" t="n">
        <x:f>'Fin, Tax &amp; Equity'!J$12</x:f>
        <x:v>1100</x:v>
      </x:c>
      <x:c r="K20" s="21" t="n">
        <x:f>'Fin, Tax &amp; Equity'!K$12</x:f>
        <x:v>1050</x:v>
      </x:c>
      <x:c r="L20" s="21" t="n">
        <x:f>'Fin, Tax &amp; Equity'!L$12</x:f>
        <x:v>1000</x:v>
      </x:c>
      <x:c r="M20" s="21" t="n">
        <x:f>'Fin, Tax &amp; Equity'!M$12</x:f>
        <x:v>950</x:v>
      </x:c>
      <x:c r="N20" s="21" t="n">
        <x:f>'Fin, Tax &amp; Equity'!N$12</x:f>
        <x:v>900</x:v>
      </x:c>
    </x:row>
    <x:row r="21" ht="13.5" customHeight="1">
      <x:c r="B21" s="19" t="s">
        <x:v>240</x:v>
      </x:c>
      <x:c r="C21" s="35">
        <x:v>0</x:v>
      </x:c>
      <x:c r="D21" s="35">
        <x:v>0</x:v>
      </x:c>
      <x:c r="E21" s="35">
        <x:v>0</x:v>
      </x:c>
      <x:c r="F21" s="35">
        <x:v>0</x:v>
      </x:c>
      <x:c r="G21" s="35">
        <x:v>0</x:v>
      </x:c>
      <x:c r="H21" s="35">
        <x:v>0</x:v>
      </x:c>
      <x:c r="I21" s="35">
        <x:v>0</x:v>
      </x:c>
      <x:c r="J21" s="35">
        <x:v>0</x:v>
      </x:c>
      <x:c r="K21" s="35">
        <x:v>0</x:v>
      </x:c>
      <x:c r="L21" s="35">
        <x:v>0</x:v>
      </x:c>
      <x:c r="M21" s="35">
        <x:v>0</x:v>
      </x:c>
      <x:c r="N21" s="35">
        <x:v>0</x:v>
      </x:c>
    </x:row>
    <x:row r="22" ht="13.5" customHeight="1">
      <x:c r="B22" s="22" t="s">
        <x:v>241</x:v>
      </x:c>
      <x:c r="C22" s="23" t="n">
        <x:f t="shared" ref="C22:N22" si="1">SUM(C17:C21)</x:f>
        <x:v>2734.148875921053</x:v>
      </x:c>
      <x:c r="D22" s="23">
        <x:f t="shared" si="1"/>
        <x:v>3133.3069223715884</x:v>
      </x:c>
      <x:c r="E22" s="23">
        <x:f t="shared" si="1"/>
        <x:v>3531.6558842129502</x:v>
      </x:c>
      <x:c r="F22" s="23">
        <x:f t="shared" si="1"/>
        <x:v>3939.4717947863742</x:v>
      </x:c>
      <x:c r="G22" s="23">
        <x:f t="shared" si="1"/>
        <x:v>4351.9760495889186</x:v>
      </x:c>
      <x:c r="H22" s="23">
        <x:f t="shared" si="1"/>
        <x:v>4764.580632689398</x:v>
      </x:c>
      <x:c r="I22" s="23">
        <x:f t="shared" si="1"/>
        <x:v>5172.7233476629735</x:v>
      </x:c>
      <x:c r="J22" s="23">
        <x:f t="shared" si="1"/>
        <x:v>5571.8676620339193</x:v>
      </x:c>
      <x:c r="K22" s="23">
        <x:f t="shared" si="1"/>
        <x:v>5957.5025526514682</x:v>
      </x:c>
      <x:c r="L22" s="23">
        <x:f t="shared" si="1"/>
        <x:v>6325.1423519931841</x:v>
      </x:c>
      <x:c r="M22" s="23">
        <x:f t="shared" si="1"/>
        <x:v>6670.3265953902537</x:v>
      </x:c>
      <x:c r="N22" s="23">
        <x:f t="shared" si="1"/>
        <x:v>6988.6198691692034</x:v>
      </x:c>
    </x:row>
    <x:row r="23" ht="13.5" customHeight="1">
      <x:c r="B23" s="19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 ht="13.5" customHeight="1">
      <x:c r="B24" s="66" t="s">
        <x:v>242</x:v>
      </x:c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8"/>
    </x:row>
    <x:row r="25" ht="13.5" customHeight="1">
      <x:c r="B25" s="19" t="s">
        <x:v>243</x:v>
      </x:c>
      <x:c r="C25" s="21" t="n">
        <x:f>'Fin, Tax &amp; Equity'!C$26</x:f>
        <x:v>2000</x:v>
      </x:c>
      <x:c r="D25" s="21" t="n">
        <x:f>'Fin, Tax &amp; Equity'!D$26</x:f>
        <x:v>2000</x:v>
      </x:c>
      <x:c r="E25" s="21" t="n">
        <x:f>'Fin, Tax &amp; Equity'!E$26</x:f>
        <x:v>2000</x:v>
      </x:c>
      <x:c r="F25" s="21" t="n">
        <x:f>'Fin, Tax &amp; Equity'!F$26</x:f>
        <x:v>2000</x:v>
      </x:c>
      <x:c r="G25" s="21" t="n">
        <x:f>'Fin, Tax &amp; Equity'!G$26</x:f>
        <x:v>2000</x:v>
      </x:c>
      <x:c r="H25" s="21" t="n">
        <x:f>'Fin, Tax &amp; Equity'!H$26</x:f>
        <x:v>2000</x:v>
      </x:c>
      <x:c r="I25" s="21" t="n">
        <x:f>'Fin, Tax &amp; Equity'!I$26</x:f>
        <x:v>2000</x:v>
      </x:c>
      <x:c r="J25" s="21" t="n">
        <x:f>'Fin, Tax &amp; Equity'!J$26</x:f>
        <x:v>2000</x:v>
      </x:c>
      <x:c r="K25" s="21" t="n">
        <x:f>'Fin, Tax &amp; Equity'!K$26</x:f>
        <x:v>2000</x:v>
      </x:c>
      <x:c r="L25" s="21" t="n">
        <x:f>'Fin, Tax &amp; Equity'!L$26</x:f>
        <x:v>2000</x:v>
      </x:c>
      <x:c r="M25" s="21" t="n">
        <x:f>'Fin, Tax &amp; Equity'!M$26</x:f>
        <x:v>2000</x:v>
      </x:c>
      <x:c r="N25" s="21" t="n">
        <x:f>'Fin, Tax &amp; Equity'!N$26</x:f>
        <x:v>2000</x:v>
      </x:c>
    </x:row>
    <x:row r="26" ht="13.5" customHeight="1">
      <x:c r="B26" s="19" t="s">
        <x:v>46</x:v>
      </x:c>
      <x:c r="C26" s="21" t="n">
        <x:f>'Fin, Tax &amp; Equity'!C$34</x:f>
        <x:v>1597.3770468444445</x:v>
      </x:c>
      <x:c r="D26" s="21" t="n">
        <x:f>'Fin, Tax &amp; Equity'!D$34</x:f>
        <x:v>919.2284034435107</x:v>
      </x:c>
      <x:c r="E26" s="21" t="n">
        <x:f>'Fin, Tax &amp; Equity'!E$34</x:f>
        <x:v>237.91499568292159</x:v>
      </x:c>
      <x:c r="F26" s="21" t="n">
        <x:f>'Fin, Tax &amp; Equity'!F$34</x:f>
        <x:v>-443.29008426774203</x:v>
      </x:c>
      <x:c r="G26" s="21" t="n">
        <x:f>'Fin, Tax &amp; Equity'!G$34</x:f>
        <x:v>-1120.659688526389</x:v>
      </x:c>
      <x:c r="H26" s="21" t="n">
        <x:f>'Fin, Tax &amp; Equity'!H$34</x:f>
        <x:v>-1790.4876310457662</x:v>
      </x:c>
      <x:c r="I26" s="21" t="n">
        <x:f>'Fin, Tax &amp; Equity'!I$34</x:f>
        <x:v>-2449.088561317477</x:v>
      </x:c>
      <x:c r="J26" s="21" t="n">
        <x:f>'Fin, Tax &amp; Equity'!J$34</x:f>
        <x:v>-3092.7978388335746</x:v>
      </x:c>
      <x:c r="K26" s="21" t="n">
        <x:f>'Fin, Tax &amp; Equity'!K$34</x:f>
        <x:v>-3717.971408301193</x:v>
      </x:c>
      <x:c r="L26" s="21" t="n">
        <x:f>'Fin, Tax &amp; Equity'!L$34</x:f>
        <x:v>-4320.9856756056915</x:v>
      </x:c>
      <x:c r="M26" s="21" t="n">
        <x:f>'Fin, Tax &amp; Equity'!M$34</x:f>
        <x:v>-4898.2373845178245</x:v>
      </x:c>
      <x:c r="N26" s="21" t="n">
        <x:f>'Fin, Tax &amp; Equity'!N$34</x:f>
        <x:v>-5446.143494140468</x:v>
      </x:c>
    </x:row>
    <x:row r="27" ht="13.5" customHeight="1">
      <x:c r="B27" s="19" t="s">
        <x:v>244</x:v>
      </x:c>
      <x:c r="C27" s="35">
        <x:v>0</x:v>
      </x:c>
      <x:c r="D27" s="35">
        <x:v>0</x:v>
      </x:c>
      <x:c r="E27" s="35">
        <x:v>0</x:v>
      </x:c>
      <x:c r="F27" s="35">
        <x:v>0</x:v>
      </x:c>
      <x:c r="G27" s="35">
        <x:v>0</x:v>
      </x:c>
      <x:c r="H27" s="35">
        <x:v>0</x:v>
      </x:c>
      <x:c r="I27" s="35">
        <x:v>0</x:v>
      </x:c>
      <x:c r="J27" s="35">
        <x:v>0</x:v>
      </x:c>
      <x:c r="K27" s="35">
        <x:v>0</x:v>
      </x:c>
      <x:c r="L27" s="35">
        <x:v>0</x:v>
      </x:c>
      <x:c r="M27" s="35">
        <x:v>0</x:v>
      </x:c>
      <x:c r="N27" s="35">
        <x:v>0</x:v>
      </x:c>
    </x:row>
    <x:row r="28" ht="13.5" customHeight="1">
      <x:c r="B28" s="22" t="s">
        <x:v>245</x:v>
      </x:c>
      <x:c r="C28" s="23" t="n">
        <x:f t="shared" ref="C28:N28" si="2">SUM(C25:C27)</x:f>
        <x:v>3597.3770468444445</x:v>
      </x:c>
      <x:c r="D28" s="23">
        <x:f t="shared" si="2"/>
        <x:v>2919.2284034435106</x:v>
      </x:c>
      <x:c r="E28" s="23">
        <x:f t="shared" si="2"/>
        <x:v>2237.9149956829215</x:v>
      </x:c>
      <x:c r="F28" s="23">
        <x:f t="shared" si="2"/>
        <x:v>1556.709915732258</x:v>
      </x:c>
      <x:c r="G28" s="23">
        <x:f t="shared" si="2"/>
        <x:v>879.34031147361111</x:v>
      </x:c>
      <x:c r="H28" s="23">
        <x:f t="shared" si="2"/>
        <x:v>209.51236895423381</x:v>
      </x:c>
      <x:c r="I28" s="23">
        <x:f t="shared" si="2"/>
        <x:v>-449.08856131747689</x:v>
      </x:c>
      <x:c r="J28" s="23">
        <x:f t="shared" si="2"/>
        <x:v>-1092.7978388335746</x:v>
      </x:c>
      <x:c r="K28" s="23">
        <x:f t="shared" si="2"/>
        <x:v>-1717.9714083011932</x:v>
      </x:c>
      <x:c r="L28" s="23">
        <x:f t="shared" si="2"/>
        <x:v>-2320.9856756056915</x:v>
      </x:c>
      <x:c r="M28" s="23">
        <x:f t="shared" si="2"/>
        <x:v>-2898.2373845178245</x:v>
      </x:c>
      <x:c r="N28" s="23">
        <x:f t="shared" si="2"/>
        <x:v>-3446.1434941404677</x:v>
      </x:c>
    </x:row>
    <x:row r="29" ht="13.5" customHeight="1">
      <x:c r="B29" s="22" t="s">
        <x:v>246</x:v>
      </x:c>
      <x:c r="C29" s="23" t="n">
        <x:f t="shared" ref="C29:N29" si="3">C22+C28</x:f>
        <x:v>6331.525922765497</x:v>
      </x:c>
      <x:c r="D29" s="23">
        <x:f t="shared" si="3"/>
        <x:v>6052.535325815099</x:v>
      </x:c>
      <x:c r="E29" s="23">
        <x:f t="shared" si="3"/>
        <x:v>5769.5708798958713</x:v>
      </x:c>
      <x:c r="F29" s="23">
        <x:f t="shared" si="3"/>
        <x:v>5496.1817105186319</x:v>
      </x:c>
      <x:c r="G29" s="23">
        <x:f t="shared" si="3"/>
        <x:v>5231.3163610625297</x:v>
      </x:c>
      <x:c r="H29" s="23">
        <x:f t="shared" si="3"/>
        <x:v>4974.0930016436323</x:v>
      </x:c>
      <x:c r="I29" s="23">
        <x:f t="shared" si="3"/>
        <x:v>4723.6347863454967</x:v>
      </x:c>
      <x:c r="J29" s="23">
        <x:f t="shared" si="3"/>
        <x:v>4479.0698232003451</x:v>
      </x:c>
      <x:c r="K29" s="23">
        <x:f t="shared" si="3"/>
        <x:v>4239.5311443502751</x:v>
      </x:c>
      <x:c r="L29" s="23">
        <x:f t="shared" si="3"/>
        <x:v>4004.1566763874926</x:v>
      </x:c>
      <x:c r="M29" s="23">
        <x:f t="shared" si="3"/>
        <x:v>3772.0892108724292</x:v>
      </x:c>
      <x:c r="N29" s="23">
        <x:f t="shared" si="3"/>
        <x:v>3542.4763750287357</x:v>
      </x:c>
    </x:row>
    <x:row r="30" ht="13.5" customHeight="1">
      <x:c r="B30" s="19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 ht="13.5" customHeight="1">
      <x:c r="B31" s="75" t="s">
        <x:v>247</x:v>
      </x:c>
      <x:c r="C31" s="76"/>
      <x:c r="D31" s="76"/>
      <x:c r="E31" s="76"/>
      <x:c r="F31" s="76"/>
      <x:c r="G31" s="76"/>
      <x:c r="H31" s="76"/>
      <x:c r="I31" s="76"/>
      <x:c r="J31" s="76"/>
      <x:c r="K31" s="76"/>
      <x:c r="L31" s="76"/>
      <x:c r="M31" s="76"/>
      <x:c r="N31" s="77"/>
    </x:row>
    <x:row r="32" ht="13.5" customHeight="1">
      <x:c r="B32" s="47" t="s">
        <x:v>248</x:v>
      </x:c>
      <x:c r="C32" s="48" t="n">
        <x:f t="shared" ref="C32:N32" si="4">ROUND(C14-C29,2)</x:f>
        <x:v>0</x:v>
      </x:c>
      <x:c r="D32" s="48">
        <x:f t="shared" si="4"/>
        <x:v>0</x:v>
      </x:c>
      <x:c r="E32" s="48">
        <x:f t="shared" si="4"/>
        <x:v>0</x:v>
      </x:c>
      <x:c r="F32" s="48">
        <x:f t="shared" si="4"/>
        <x:v>0</x:v>
      </x:c>
      <x:c r="G32" s="48">
        <x:f t="shared" si="4"/>
        <x:v>0</x:v>
      </x:c>
      <x:c r="H32" s="48">
        <x:f t="shared" si="4"/>
        <x:v>0</x:v>
      </x:c>
      <x:c r="I32" s="48">
        <x:f t="shared" si="4"/>
        <x:v>0</x:v>
      </x:c>
      <x:c r="J32" s="48">
        <x:f t="shared" si="4"/>
        <x:v>0</x:v>
      </x:c>
      <x:c r="K32" s="48">
        <x:f t="shared" si="4"/>
        <x:v>0</x:v>
      </x:c>
      <x:c r="L32" s="48">
        <x:f t="shared" si="4"/>
        <x:v>0</x:v>
      </x:c>
      <x:c r="M32" s="48">
        <x:f t="shared" si="4"/>
        <x:v>0</x:v>
      </x:c>
      <x:c r="N32" s="48">
        <x:f t="shared" si="4"/>
        <x:v>0</x:v>
      </x:c>
    </x:row>
    <x:row r="33" ht="13.5" customHeight="1">
      <x:c r="B33" s="19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 ht="13.5" customHeight="1"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</x:row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31:N31"/>
    <x:mergeCell ref="B2:N3"/>
    <x:mergeCell ref="B4:N4"/>
    <x:mergeCell ref="B8:N8"/>
    <x:mergeCell ref="B16:N16"/>
    <x:mergeCell ref="B24:N24"/>
  </x:mergeCells>
  <x:conditionalFormatting sqref="C32:N32">
    <x:cfRule type="cellIs" dxfId="4" priority="1" operator="equal">
      <x:formula>0</x:formula>
    </x:cfRule>
    <x:cfRule type="cellIs" dxfId="3" priority="2" operator="notEqual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209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249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5" ht="13.5" customHeight="1"/>
    <x:row r="6" ht="13.5" customHeight="1">
      <x:c r="B6" s="50" t="s">
        <x:v>211</x:v>
      </x:c>
      <x:c r="C6" s="18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66" t="s">
        <x:v>250</x:v>
      </x:c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8"/>
    </x:row>
    <x:row r="9" ht="13.5" customHeight="1">
      <x:c r="B9" s="19" t="s">
        <x:v>226</x:v>
      </x:c>
      <x:c r="C9" s="21" t="n">
        <x:f>IS!C$29</x:f>
        <x:v>-672.6229531555556</x:v>
      </x:c>
      <x:c r="D9" s="21" t="n">
        <x:f>IS!D$29</x:f>
        <x:v>-678.1486434009338</x:v>
      </x:c>
      <x:c r="E9" s="21" t="n">
        <x:f>IS!E$29</x:f>
        <x:v>-681.3134077605891</x:v>
      </x:c>
      <x:c r="F9" s="21" t="n">
        <x:f>IS!F$29</x:f>
        <x:v>-681.2050799506636</x:v>
      </x:c>
      <x:c r="G9" s="21" t="n">
        <x:f>IS!G$29</x:f>
        <x:v>-677.3696042586469</x:v>
      </x:c>
      <x:c r="H9" s="21" t="n">
        <x:f>IS!H$29</x:f>
        <x:v>-669.8279425193772</x:v>
      </x:c>
      <x:c r="I9" s="21" t="n">
        <x:f>IS!I$29</x:f>
        <x:v>-658.6009302717109</x:v>
      </x:c>
      <x:c r="J9" s="21" t="n">
        <x:f>IS!J$29</x:f>
        <x:v>-643.7092775160976</x:v>
      </x:c>
      <x:c r="K9" s="21" t="n">
        <x:f>IS!K$29</x:f>
        <x:v>-625.1735694676183</x:v>
      </x:c>
      <x:c r="L9" s="21" t="n">
        <x:f>IS!L$29</x:f>
        <x:v>-603.0142673044987</x:v>
      </x:c>
      <x:c r="M9" s="21" t="n">
        <x:f>IS!M$29</x:f>
        <x:v>-577.2517089121328</x:v>
      </x:c>
      <x:c r="N9" s="21" t="n">
        <x:f>IS!N$29</x:f>
        <x:v>-547.9061096226433</x:v>
      </x:c>
    </x:row>
    <x:row r="10" ht="13.5" customHeight="1">
      <x:c r="B10" s="19" t="s">
        <x:v>251</x:v>
      </x:c>
      <x:c r="C10" s="21" t="n">
        <x:f>'FA &amp; D&amp;A'!C$17</x:f>
        <x:v>27.22222222222222</x:v>
      </x:c>
      <x:c r="D10" s="21" t="n">
        <x:f>'FA &amp; D&amp;A'!D$17</x:f>
        <x:v>29.444444444444443</x:v>
      </x:c>
      <x:c r="E10" s="21" t="n">
        <x:f>'FA &amp; D&amp;A'!E$17</x:f>
        <x:v>31.666666666666668</x:v>
      </x:c>
      <x:c r="F10" s="21" t="n">
        <x:f>'FA &amp; D&amp;A'!F$17</x:f>
        <x:v>33.888888888888886</x:v>
      </x:c>
      <x:c r="G10" s="21" t="n">
        <x:f>'FA &amp; D&amp;A'!G$17</x:f>
        <x:v>36.111111111111114</x:v>
      </x:c>
      <x:c r="H10" s="21" t="n">
        <x:f>'FA &amp; D&amp;A'!H$17</x:f>
        <x:v>38.333333333333336</x:v>
      </x:c>
      <x:c r="I10" s="21" t="n">
        <x:f>'FA &amp; D&amp;A'!I$17</x:f>
        <x:v>40.55555555555556</x:v>
      </x:c>
      <x:c r="J10" s="21" t="n">
        <x:f>'FA &amp; D&amp;A'!J$17</x:f>
        <x:v>42.77777777777778</x:v>
      </x:c>
      <x:c r="K10" s="21" t="n">
        <x:f>'FA &amp; D&amp;A'!K$17</x:f>
        <x:v>45</x:v>
      </x:c>
      <x:c r="L10" s="21" t="n">
        <x:f>'FA &amp; D&amp;A'!L$17</x:f>
        <x:v>47.22222222222222</x:v>
      </x:c>
      <x:c r="M10" s="21" t="n">
        <x:f>'FA &amp; D&amp;A'!M$17</x:f>
        <x:v>49.44444444444444</x:v>
      </x:c>
      <x:c r="N10" s="21" t="n">
        <x:f>'FA &amp; D&amp;A'!N$17</x:f>
        <x:v>51.66666666666667</x:v>
      </x:c>
    </x:row>
    <x:row r="11" ht="13.5" customHeight="1">
      <x:c r="B11" s="19" t="s">
        <x:v>252</x:v>
      </x:c>
      <x:c r="C11" s="21" t="n">
        <x:f>-WC!C$12</x:f>
        <x:v>-128.961082236842</x:v>
      </x:c>
      <x:c r="D11" s="21" t="n">
        <x:f>-WC!D$12</x:f>
        <x:v>-58.19659180271128</x:v>
      </x:c>
      <x:c r="E11" s="21" t="n">
        <x:f>-WC!E$12</x:f>
        <x:v>-62.47127268960594</x:v>
      </x:c>
      <x:c r="F11" s="21" t="n">
        <x:f>-WC!F$12</x:f>
        <x:v>-68.3901109138285</x:v>
      </x:c>
      <x:c r="G11" s="21" t="n">
        <x:f>-WC!G$12</x:f>
        <x:v>-74.72964601867488</x:v>
      </x:c>
      <x:c r="H11" s="21" t="n">
        <x:f>-WC!H$12</x:f>
        <x:v>-81.03367309134364</x:v>
      </x:c>
      <x:c r="I11" s="21" t="n">
        <x:f>-WC!I$12</x:f>
        <x:v>-87.30240612771081</x:v>
      </x:c>
      <x:c r="J11" s="21" t="n">
        <x:f>-WC!J$12</x:f>
        <x:v>-93.5360578400323</x:v>
      </x:c>
      <x:c r="K11" s="21" t="n">
        <x:f>-WC!K$12</x:f>
        <x:v>-99.73483966464596</x:v>
      </x:c>
      <x:c r="L11" s="21" t="n">
        <x:f>-WC!L$12</x:f>
        <x:v>-105.89896176962634</x:v>
      </x:c>
      <x:c r="M11" s="21" t="n">
        <x:f>-WC!M$12</x:f>
        <x:v>-112.02863306239647</x:v>
      </x:c>
      <x:c r="N11" s="21" t="n">
        <x:f>-WC!N$12</x:f>
        <x:v>-118.12406119728962</x:v>
      </x:c>
    </x:row>
    <x:row r="12" ht="13.5" customHeight="1">
      <x:c r="B12" s="19" t="s">
        <x:v>253</x:v>
      </x:c>
      <x:c r="C12" s="21" t="n">
        <x:f>-WC!C$24</x:f>
        <x:v>98</x:v>
      </x:c>
      <x:c r="D12" s="21" t="n">
        <x:f>-WC!D$24</x:f>
        <x:v>0</x:v>
      </x:c>
      <x:c r="E12" s="21" t="n">
        <x:f>-WC!E$24</x:f>
        <x:v>0</x:v>
      </x:c>
      <x:c r="F12" s="21" t="n">
        <x:f>-WC!F$24</x:f>
        <x:v>0</x:v>
      </x:c>
      <x:c r="G12" s="21" t="n">
        <x:f>-WC!G$24</x:f>
        <x:v>0</x:v>
      </x:c>
      <x:c r="H12" s="21" t="n">
        <x:f>-WC!H$24</x:f>
        <x:v>0</x:v>
      </x:c>
      <x:c r="I12" s="21" t="n">
        <x:f>-WC!I$24</x:f>
        <x:v>0</x:v>
      </x:c>
      <x:c r="J12" s="21" t="n">
        <x:f>-WC!J$24</x:f>
        <x:v>0</x:v>
      </x:c>
      <x:c r="K12" s="21" t="n">
        <x:f>-WC!K$24</x:f>
        <x:v>0</x:v>
      </x:c>
      <x:c r="L12" s="21" t="n">
        <x:f>-WC!L$24</x:f>
        <x:v>0</x:v>
      </x:c>
      <x:c r="M12" s="21" t="n">
        <x:f>-WC!M$24</x:f>
        <x:v>0</x:v>
      </x:c>
      <x:c r="N12" s="21" t="n">
        <x:f>-WC!N$24</x:f>
        <x:v>0</x:v>
      </x:c>
    </x:row>
    <x:row r="13" ht="13.5" customHeight="1">
      <x:c r="B13" s="19" t="s">
        <x:v>254</x:v>
      </x:c>
      <x:c r="C13" s="21" t="n">
        <x:f>WC!C$18</x:f>
        <x:v>-131.2399990789474</x:v>
      </x:c>
      <x:c r="D13" s="21" t="n">
        <x:f>WC!D$18</x:f>
        <x:v>7.382629700535887</x:v>
      </x:c>
      <x:c r="E13" s="21" t="n">
        <x:f>WC!E$18</x:f>
        <x:v>8.112580168279052</x:v>
      </x:c>
      <x:c r="F13" s="21" t="n">
        <x:f>WC!F$18</x:f>
        <x:v>9.037211285973058</x:v>
      </x:c>
      <x:c r="G13" s="21" t="n">
        <x:f>WC!G$18</x:f>
        <x:v>9.792973110696778</x:v>
      </x:c>
      <x:c r="H13" s="21" t="n">
        <x:f>WC!H$18</x:f>
        <x:v>10.544503865886327</x:v>
      </x:c>
      <x:c r="I13" s="21" t="n">
        <x:f>WC!I$18</x:f>
        <x:v>11.291829051680793</x:v>
      </x:c>
      <x:c r="J13" s="21" t="n">
        <x:f>WC!J$18</x:f>
        <x:v>12.034974015261298</x:v>
      </x:c>
      <x:c r="K13" s="21" t="n">
        <x:f>WC!K$18</x:f>
        <x:v>12.77396395176811</x:v>
      </x:c>
      <x:c r="L13" s="21" t="n">
        <x:f>WC!L$18</x:f>
        <x:v>13.508823905213745</x:v>
      </x:c>
      <x:c r="M13" s="21" t="n">
        <x:f>WC!M$18</x:f>
        <x:v>14.239578769388999</x:v>
      </x:c>
      <x:c r="N13" s="21" t="n">
        <x:f>WC!N$18</x:f>
        <x:v>14.96625328876479</x:v>
      </x:c>
    </x:row>
    <x:row r="14" ht="13.5" customHeight="1">
      <x:c r="B14" s="19" t="s">
        <x:v>255</x:v>
      </x:c>
      <x:c r="C14" s="21" t="n">
        <x:f>WC!C$30</x:f>
        <x:v>-85.721125</x:v>
      </x:c>
      <x:c r="D14" s="21" t="n">
        <x:f>WC!D$30</x:f>
        <x:v>3.5470767500000164</x:v>
      </x:c>
      <x:c r="E14" s="21" t="n">
        <x:f>WC!E$30</x:f>
        <x:v>3.5257942894999843</x:v>
      </x:c>
      <x:c r="F14" s="21" t="n">
        <x:f>WC!F$30</x:f>
        <x:v>3.504639523763018</x:v>
      </x:c>
      <x:c r="G14" s="21" t="n">
        <x:f>WC!G$30</x:f>
        <x:v>3.483611686620435</x:v>
      </x:c>
      <x:c r="H14" s="21" t="n">
        <x:f>WC!H$30</x:f>
        <x:v>3.462710016500637</x:v>
      </x:c>
      <x:c r="I14" s="21" t="n">
        <x:f>WC!I$30</x:f>
        <x:v>3.4419337564017383</x:v>
      </x:c>
      <x:c r="J14" s="21" t="n">
        <x:f>WC!J$30</x:f>
        <x:v>3.421282153863274</x:v>
      </x:c>
      <x:c r="K14" s="21" t="n">
        <x:f>WC!K$30</x:f>
        <x:v>3.4007544609401066</x:v>
      </x:c>
      <x:c r="L14" s="21" t="n">
        <x:f>WC!L$30</x:f>
        <x:v>3.3803499341744327</x:v>
      </x:c>
      <x:c r="M14" s="21" t="n">
        <x:f>WC!M$30</x:f>
        <x:v>3.3600678345694632</x:v>
      </x:c>
      <x:c r="N14" s="21" t="n">
        <x:f>WC!N$30</x:f>
        <x:v>3.3399074275619967</x:v>
      </x:c>
    </x:row>
    <x:row r="15" ht="13.5" customHeight="1">
      <x:c r="B15" s="19" t="s">
        <x:v>256</x:v>
      </x:c>
      <x:c r="C15" s="21" t="n">
        <x:f>WC!C$37</x:f>
        <x:v>451.1100000000001</x:v>
      </x:c>
      <x:c r="D15" s="21" t="n">
        <x:f>WC!D$37</x:f>
        <x:v>438.22833999999966</x:v>
      </x:c>
      <x:c r="E15" s="21" t="n">
        <x:f>WC!E$37</x:f>
        <x:v>436.71058738358306</x:v>
      </x:c>
      <x:c r="F15" s="21" t="n">
        <x:f>WC!F$37</x:f>
        <x:v>445.27405976368755</x:v>
      </x:c>
      <x:c r="G15" s="21" t="n">
        <x:f>WC!G$37</x:f>
        <x:v>449.227670005228</x:v>
      </x:c>
      <x:c r="H15" s="21" t="n">
        <x:f>WC!H$37</x:f>
        <x:v>448.59736921809144</x:v>
      </x:c>
      <x:c r="I15" s="21" t="n">
        <x:f>WC!I$37</x:f>
        <x:v>443.40895216549325</x:v>
      </x:c>
      <x:c r="J15" s="21" t="n">
        <x:f>WC!J$37</x:f>
        <x:v>433.68805820182115</x:v>
      </x:c>
      <x:c r="K15" s="21" t="n">
        <x:f>WC!K$37</x:f>
        <x:v>419.460172204841</x:v>
      </x:c>
      <x:c r="L15" s="21" t="n">
        <x:f>WC!L$37</x:f>
        <x:v>400.75062550232724</x:v>
      </x:c>
      <x:c r="M15" s="21" t="n">
        <x:f>WC!M$37</x:f>
        <x:v>377.5845967931118</x:v>
      </x:c>
      <x:c r="N15" s="21" t="n">
        <x:f>WC!N$37</x:f>
        <x:v>349.9871130626225</x:v>
      </x:c>
    </x:row>
    <x:row r="16" ht="13.5" customHeight="1">
      <x:c r="B16" s="22" t="s">
        <x:v>257</x:v>
      </x:c>
      <x:c r="C16" s="23" t="n">
        <x:f t="shared" ref="C16:N16" si="0">SUM(C9:C15)</x:f>
        <x:v>-442.21293724912266</x:v>
      </x:c>
      <x:c r="D16" s="23">
        <x:f t="shared" si="0"/>
        <x:v>-257.74274430866512</x:v>
      </x:c>
      <x:c r="E16" s="23">
        <x:f t="shared" si="0"/>
        <x:v>-263.76905194216636</x:v>
      </x:c>
      <x:c r="F16" s="23">
        <x:f t="shared" si="0"/>
        <x:v>-257.8903914021796</x:v>
      </x:c>
      <x:c r="G16" s="23">
        <x:f t="shared" si="0"/>
        <x:v>-253.48388436366554</x:v>
      </x:c>
      <x:c r="H16" s="23">
        <x:f t="shared" si="0"/>
        <x:v>-249.92369917690905</x:v>
      </x:c>
      <x:c r="I16" s="23">
        <x:f t="shared" si="0"/>
        <x:v>-247.20506587029035</x:v>
      </x:c>
      <x:c r="J16" s="23">
        <x:f t="shared" si="0"/>
        <x:v>-245.32324320740622</x:v>
      </x:c>
      <x:c r="K16" s="23">
        <x:f t="shared" si="0"/>
        <x:v>-244.27351851471508</x:v>
      </x:c>
      <x:c r="L16" s="23">
        <x:f t="shared" si="0"/>
        <x:v>-244.05120751018751</x:v>
      </x:c>
      <x:c r="M16" s="23">
        <x:f t="shared" si="0"/>
        <x:v>-244.65165413301452</x:v>
      </x:c>
      <x:c r="N16" s="23">
        <x:f t="shared" si="0"/>
        <x:v>-246.07023037431679</x:v>
      </x:c>
    </x:row>
    <x:row r="17" ht="13.5" customHeight="1">
      <x:c r="B17" s="19" t="s">
        <x:v>258</x:v>
      </x:c>
      <x:c r="C17" s="21" t="n">
        <x:f>WC!C$42</x:f>
        <x:v>203.18779368421073</x:v>
      </x:c>
      <x:c r="D17" s="21" t="n">
        <x:f>WC!D$42</x:f>
        <x:v>390.96145464782427</x:v>
      </x:c>
      <x:c r="E17" s="21" t="n">
        <x:f>WC!E$42</x:f>
        <x:v>385.87768915175616</x:v>
      </x:c>
      <x:c r="F17" s="21" t="n">
        <x:f>WC!F$42</x:f>
        <x:v>389.4257996595951</x:v>
      </x:c>
      <x:c r="G17" s="21" t="n">
        <x:f>WC!G$42</x:f>
        <x:v>387.77460878387035</x:v>
      </x:c>
      <x:c r="H17" s="21" t="n">
        <x:f>WC!H$42</x:f>
        <x:v>381.57091000913476</x:v>
      </x:c>
      <x:c r="I17" s="21" t="n">
        <x:f>WC!I$42</x:f>
        <x:v>370.84030884586497</x:v>
      </x:c>
      <x:c r="J17" s="21" t="n">
        <x:f>WC!J$42</x:f>
        <x:v>355.6082565309134</x:v>
      </x:c>
      <x:c r="K17" s="21" t="n">
        <x:f>WC!K$42</x:f>
        <x:v>335.90005095290326</x:v>
      </x:c>
      <x:c r="L17" s="21" t="n">
        <x:f>WC!L$42</x:f>
        <x:v>311.74083757208905</x:v>
      </x:c>
      <x:c r="M17" s="21" t="n">
        <x:f>WC!M$42</x:f>
        <x:v>283.15561033467384</x:v>
      </x:c>
      <x:c r="N17" s="21" t="n">
        <x:f>WC!N$42</x:f>
        <x:v>250.16921258165965</x:v>
      </x:c>
    </x:row>
    <x:row r="18" ht="13.5" customHeight="1">
      <x:c r="B18" s="19" t="s">
        <x:v>259</x:v>
      </x:c>
      <x:c r="C18" s="31" t="n">
        <x:f t="shared" ref="C18:N18" si="1">ROUND(C16-(C9+C10+C17),2)</x:f>
        <x:v>0</x:v>
      </x:c>
      <x:c r="D18" s="31">
        <x:f t="shared" si="1"/>
        <x:v>0</x:v>
      </x:c>
      <x:c r="E18" s="31">
        <x:f t="shared" si="1"/>
        <x:v>0</x:v>
      </x:c>
      <x:c r="F18" s="31">
        <x:f t="shared" si="1"/>
        <x:v>0</x:v>
      </x:c>
      <x:c r="G18" s="31">
        <x:f t="shared" si="1"/>
        <x:v>0</x:v>
      </x:c>
      <x:c r="H18" s="31">
        <x:f t="shared" si="1"/>
        <x:v>0</x:v>
      </x:c>
      <x:c r="I18" s="31">
        <x:f t="shared" si="1"/>
        <x:v>0</x:v>
      </x:c>
      <x:c r="J18" s="31">
        <x:f t="shared" si="1"/>
        <x:v>0</x:v>
      </x:c>
      <x:c r="K18" s="31">
        <x:f t="shared" si="1"/>
        <x:v>0</x:v>
      </x:c>
      <x:c r="L18" s="31">
        <x:f t="shared" si="1"/>
        <x:v>0</x:v>
      </x:c>
      <x:c r="M18" s="31">
        <x:f t="shared" si="1"/>
        <x:v>0</x:v>
      </x:c>
      <x:c r="N18" s="31">
        <x:f t="shared" si="1"/>
        <x:v>0</x:v>
      </x:c>
    </x:row>
    <x:row r="19" ht="13.5" customHeight="1">
      <x:c r="B19" s="19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 ht="13.5" customHeight="1">
      <x:c r="B20" s="66" t="s">
        <x:v>260</x:v>
      </x:c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8"/>
    </x:row>
    <x:row r="21" ht="13.5" customHeight="1">
      <x:c r="B21" s="19" t="s">
        <x:v>261</x:v>
      </x:c>
      <x:c r="C21" s="21" t="n">
        <x:f>-'FA &amp; D&amp;A'!C$10</x:f>
        <x:v>-80</x:v>
      </x:c>
      <x:c r="D21" s="21" t="n">
        <x:f>-'FA &amp; D&amp;A'!D$10</x:f>
        <x:v>-80</x:v>
      </x:c>
      <x:c r="E21" s="21" t="n">
        <x:f>-'FA &amp; D&amp;A'!E$10</x:f>
        <x:v>-80</x:v>
      </x:c>
      <x:c r="F21" s="21" t="n">
        <x:f>-'FA &amp; D&amp;A'!F$10</x:f>
        <x:v>-80</x:v>
      </x:c>
      <x:c r="G21" s="21" t="n">
        <x:f>-'FA &amp; D&amp;A'!G$10</x:f>
        <x:v>-80</x:v>
      </x:c>
      <x:c r="H21" s="21" t="n">
        <x:f>-'FA &amp; D&amp;A'!H$10</x:f>
        <x:v>-80</x:v>
      </x:c>
      <x:c r="I21" s="21" t="n">
        <x:f>-'FA &amp; D&amp;A'!I$10</x:f>
        <x:v>-80</x:v>
      </x:c>
      <x:c r="J21" s="21" t="n">
        <x:f>-'FA &amp; D&amp;A'!J$10</x:f>
        <x:v>-80</x:v>
      </x:c>
      <x:c r="K21" s="21" t="n">
        <x:f>-'FA &amp; D&amp;A'!K$10</x:f>
        <x:v>-80</x:v>
      </x:c>
      <x:c r="L21" s="21" t="n">
        <x:f>-'FA &amp; D&amp;A'!L$10</x:f>
        <x:v>-80</x:v>
      </x:c>
      <x:c r="M21" s="21" t="n">
        <x:f>-'FA &amp; D&amp;A'!M$10</x:f>
        <x:v>-80</x:v>
      </x:c>
      <x:c r="N21" s="21" t="n">
        <x:f>-'FA &amp; D&amp;A'!N$10</x:f>
        <x:v>-80</x:v>
      </x:c>
    </x:row>
    <x:row r="22" ht="13.5" customHeight="1">
      <x:c r="B22" s="22" t="s">
        <x:v>262</x:v>
      </x:c>
      <x:c r="C22" s="23" t="n">
        <x:f t="shared" ref="C22:N22" si="2">C21</x:f>
        <x:v>-80</x:v>
      </x:c>
      <x:c r="D22" s="23">
        <x:f t="shared" si="2"/>
        <x:v>-80</x:v>
      </x:c>
      <x:c r="E22" s="23">
        <x:f t="shared" si="2"/>
        <x:v>-80</x:v>
      </x:c>
      <x:c r="F22" s="23">
        <x:f t="shared" si="2"/>
        <x:v>-80</x:v>
      </x:c>
      <x:c r="G22" s="23">
        <x:f t="shared" si="2"/>
        <x:v>-80</x:v>
      </x:c>
      <x:c r="H22" s="23">
        <x:f t="shared" si="2"/>
        <x:v>-80</x:v>
      </x:c>
      <x:c r="I22" s="23">
        <x:f t="shared" si="2"/>
        <x:v>-80</x:v>
      </x:c>
      <x:c r="J22" s="23">
        <x:f t="shared" si="2"/>
        <x:v>-80</x:v>
      </x:c>
      <x:c r="K22" s="23">
        <x:f t="shared" si="2"/>
        <x:v>-80</x:v>
      </x:c>
      <x:c r="L22" s="23">
        <x:f t="shared" si="2"/>
        <x:v>-80</x:v>
      </x:c>
      <x:c r="M22" s="23">
        <x:f t="shared" si="2"/>
        <x:v>-80</x:v>
      </x:c>
      <x:c r="N22" s="23">
        <x:f t="shared" si="2"/>
        <x:v>-80</x:v>
      </x:c>
    </x:row>
    <x:row r="23" ht="13.5" customHeight="1">
      <x:c r="B23" s="19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 ht="13.5" customHeight="1">
      <x:c r="B24" s="66" t="s">
        <x:v>263</x:v>
      </x:c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8"/>
    </x:row>
    <x:row r="25" ht="13.5" customHeight="1">
      <x:c r="B25" s="19" t="s">
        <x:v>264</x:v>
      </x:c>
      <x:c r="C25" s="21" t="n">
        <x:f>'Fin, Tax &amp; Equity'!C$10</x:f>
        <x:v>0</x:v>
      </x:c>
      <x:c r="D25" s="21" t="n">
        <x:f>'Fin, Tax &amp; Equity'!D$10</x:f>
        <x:v>0</x:v>
      </x:c>
      <x:c r="E25" s="21" t="n">
        <x:f>'Fin, Tax &amp; Equity'!E$10</x:f>
        <x:v>0</x:v>
      </x:c>
      <x:c r="F25" s="21" t="n">
        <x:f>'Fin, Tax &amp; Equity'!F$10</x:f>
        <x:v>0</x:v>
      </x:c>
      <x:c r="G25" s="21" t="n">
        <x:f>'Fin, Tax &amp; Equity'!G$10</x:f>
        <x:v>0</x:v>
      </x:c>
      <x:c r="H25" s="21" t="n">
        <x:f>'Fin, Tax &amp; Equity'!H$10</x:f>
        <x:v>0</x:v>
      </x:c>
      <x:c r="I25" s="21" t="n">
        <x:f>'Fin, Tax &amp; Equity'!I$10</x:f>
        <x:v>0</x:v>
      </x:c>
      <x:c r="J25" s="21" t="n">
        <x:f>'Fin, Tax &amp; Equity'!J$10</x:f>
        <x:v>0</x:v>
      </x:c>
      <x:c r="K25" s="21" t="n">
        <x:f>'Fin, Tax &amp; Equity'!K$10</x:f>
        <x:v>0</x:v>
      </x:c>
      <x:c r="L25" s="21" t="n">
        <x:f>'Fin, Tax &amp; Equity'!L$10</x:f>
        <x:v>0</x:v>
      </x:c>
      <x:c r="M25" s="21" t="n">
        <x:f>'Fin, Tax &amp; Equity'!M$10</x:f>
        <x:v>0</x:v>
      </x:c>
      <x:c r="N25" s="21" t="n">
        <x:f>'Fin, Tax &amp; Equity'!N$10</x:f>
        <x:v>0</x:v>
      </x:c>
    </x:row>
    <x:row r="26" ht="13.5" customHeight="1">
      <x:c r="B26" s="19" t="s">
        <x:v>265</x:v>
      </x:c>
      <x:c r="C26" s="21" t="n">
        <x:f>-'Fin, Tax &amp; Equity'!C$11</x:f>
        <x:v>-50</x:v>
      </x:c>
      <x:c r="D26" s="21" t="n">
        <x:f>-'Fin, Tax &amp; Equity'!D$11</x:f>
        <x:v>-50</x:v>
      </x:c>
      <x:c r="E26" s="21" t="n">
        <x:f>-'Fin, Tax &amp; Equity'!E$11</x:f>
        <x:v>-50</x:v>
      </x:c>
      <x:c r="F26" s="21" t="n">
        <x:f>-'Fin, Tax &amp; Equity'!F$11</x:f>
        <x:v>-50</x:v>
      </x:c>
      <x:c r="G26" s="21" t="n">
        <x:f>-'Fin, Tax &amp; Equity'!G$11</x:f>
        <x:v>-50</x:v>
      </x:c>
      <x:c r="H26" s="21" t="n">
        <x:f>-'Fin, Tax &amp; Equity'!H$11</x:f>
        <x:v>-50</x:v>
      </x:c>
      <x:c r="I26" s="21" t="n">
        <x:f>-'Fin, Tax &amp; Equity'!I$11</x:f>
        <x:v>-50</x:v>
      </x:c>
      <x:c r="J26" s="21" t="n">
        <x:f>-'Fin, Tax &amp; Equity'!J$11</x:f>
        <x:v>-50</x:v>
      </x:c>
      <x:c r="K26" s="21" t="n">
        <x:f>-'Fin, Tax &amp; Equity'!K$11</x:f>
        <x:v>-50</x:v>
      </x:c>
      <x:c r="L26" s="21" t="n">
        <x:f>-'Fin, Tax &amp; Equity'!L$11</x:f>
        <x:v>-50</x:v>
      </x:c>
      <x:c r="M26" s="21" t="n">
        <x:f>-'Fin, Tax &amp; Equity'!M$11</x:f>
        <x:v>-50</x:v>
      </x:c>
      <x:c r="N26" s="21" t="n">
        <x:f>-'Fin, Tax &amp; Equity'!N$11</x:f>
        <x:v>-50</x:v>
      </x:c>
    </x:row>
    <x:row r="27" ht="13.5" customHeight="1">
      <x:c r="B27" s="19" t="s">
        <x:v>266</x:v>
      </x:c>
      <x:c r="C27" s="21" t="n">
        <x:f>'Fin, Tax &amp; Equity'!C$25</x:f>
        <x:v>0</x:v>
      </x:c>
      <x:c r="D27" s="21" t="n">
        <x:f>'Fin, Tax &amp; Equity'!D$25</x:f>
        <x:v>0</x:v>
      </x:c>
      <x:c r="E27" s="21" t="n">
        <x:f>'Fin, Tax &amp; Equity'!E$25</x:f>
        <x:v>0</x:v>
      </x:c>
      <x:c r="F27" s="21" t="n">
        <x:f>'Fin, Tax &amp; Equity'!F$25</x:f>
        <x:v>0</x:v>
      </x:c>
      <x:c r="G27" s="21" t="n">
        <x:f>'Fin, Tax &amp; Equity'!G$25</x:f>
        <x:v>0</x:v>
      </x:c>
      <x:c r="H27" s="21" t="n">
        <x:f>'Fin, Tax &amp; Equity'!H$25</x:f>
        <x:v>0</x:v>
      </x:c>
      <x:c r="I27" s="21" t="n">
        <x:f>'Fin, Tax &amp; Equity'!I$25</x:f>
        <x:v>0</x:v>
      </x:c>
      <x:c r="J27" s="21" t="n">
        <x:f>'Fin, Tax &amp; Equity'!J$25</x:f>
        <x:v>0</x:v>
      </x:c>
      <x:c r="K27" s="21" t="n">
        <x:f>'Fin, Tax &amp; Equity'!K$25</x:f>
        <x:v>0</x:v>
      </x:c>
      <x:c r="L27" s="21" t="n">
        <x:f>'Fin, Tax &amp; Equity'!L$25</x:f>
        <x:v>0</x:v>
      </x:c>
      <x:c r="M27" s="21" t="n">
        <x:f>'Fin, Tax &amp; Equity'!M$25</x:f>
        <x:v>0</x:v>
      </x:c>
      <x:c r="N27" s="21" t="n">
        <x:f>'Fin, Tax &amp; Equity'!N$25</x:f>
        <x:v>0</x:v>
      </x:c>
    </x:row>
    <x:row r="28" ht="13.5" customHeight="1">
      <x:c r="B28" s="19" t="s">
        <x:v>267</x:v>
      </x:c>
      <x:c r="C28" s="21" t="n">
        <x:f>-'Fin, Tax &amp; Equity'!C$32</x:f>
        <x:v>0</x:v>
      </x:c>
      <x:c r="D28" s="21" t="n">
        <x:f>-'Fin, Tax &amp; Equity'!D$32</x:f>
        <x:v>0</x:v>
      </x:c>
      <x:c r="E28" s="21" t="n">
        <x:f>-'Fin, Tax &amp; Equity'!E$32</x:f>
        <x:v>0</x:v>
      </x:c>
      <x:c r="F28" s="21" t="n">
        <x:f>-'Fin, Tax &amp; Equity'!F$32</x:f>
        <x:v>0</x:v>
      </x:c>
      <x:c r="G28" s="21" t="n">
        <x:f>-'Fin, Tax &amp; Equity'!G$32</x:f>
        <x:v>0</x:v>
      </x:c>
      <x:c r="H28" s="21" t="n">
        <x:f>-'Fin, Tax &amp; Equity'!H$32</x:f>
        <x:v>0</x:v>
      </x:c>
      <x:c r="I28" s="21" t="n">
        <x:f>-'Fin, Tax &amp; Equity'!I$32</x:f>
        <x:v>0</x:v>
      </x:c>
      <x:c r="J28" s="21" t="n">
        <x:f>-'Fin, Tax &amp; Equity'!J$32</x:f>
        <x:v>0</x:v>
      </x:c>
      <x:c r="K28" s="21" t="n">
        <x:f>-'Fin, Tax &amp; Equity'!K$32</x:f>
        <x:v>0</x:v>
      </x:c>
      <x:c r="L28" s="21" t="n">
        <x:f>-'Fin, Tax &amp; Equity'!L$32</x:f>
        <x:v>0</x:v>
      </x:c>
      <x:c r="M28" s="21" t="n">
        <x:f>-'Fin, Tax &amp; Equity'!M$32</x:f>
        <x:v>0</x:v>
      </x:c>
      <x:c r="N28" s="21" t="n">
        <x:f>-'Fin, Tax &amp; Equity'!N$32</x:f>
        <x:v>0</x:v>
      </x:c>
    </x:row>
    <x:row r="29" ht="13.5" customHeight="1">
      <x:c r="B29" s="22" t="s">
        <x:v>268</x:v>
      </x:c>
      <x:c r="C29" s="23" t="n">
        <x:f t="shared" ref="C29:N29" si="3">SUM(C25:C28)</x:f>
        <x:v>-50</x:v>
      </x:c>
      <x:c r="D29" s="23">
        <x:f t="shared" si="3"/>
        <x:v>-50</x:v>
      </x:c>
      <x:c r="E29" s="23">
        <x:f t="shared" si="3"/>
        <x:v>-50</x:v>
      </x:c>
      <x:c r="F29" s="23">
        <x:f t="shared" si="3"/>
        <x:v>-50</x:v>
      </x:c>
      <x:c r="G29" s="23">
        <x:f t="shared" si="3"/>
        <x:v>-50</x:v>
      </x:c>
      <x:c r="H29" s="23">
        <x:f t="shared" si="3"/>
        <x:v>-50</x:v>
      </x:c>
      <x:c r="I29" s="23">
        <x:f t="shared" si="3"/>
        <x:v>-50</x:v>
      </x:c>
      <x:c r="J29" s="23">
        <x:f t="shared" si="3"/>
        <x:v>-50</x:v>
      </x:c>
      <x:c r="K29" s="23">
        <x:f t="shared" si="3"/>
        <x:v>-50</x:v>
      </x:c>
      <x:c r="L29" s="23">
        <x:f t="shared" si="3"/>
        <x:v>-50</x:v>
      </x:c>
      <x:c r="M29" s="23">
        <x:f t="shared" si="3"/>
        <x:v>-50</x:v>
      </x:c>
      <x:c r="N29" s="23">
        <x:f t="shared" si="3"/>
        <x:v>-50</x:v>
      </x:c>
    </x:row>
    <x:row r="30" ht="13.5" customHeight="1">
      <x:c r="B30" s="19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 ht="13.5" customHeight="1">
      <x:c r="B31" s="66" t="s">
        <x:v>269</x:v>
      </x:c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8"/>
    </x:row>
    <x:row r="32" ht="13.5" customHeight="1">
      <x:c r="B32" s="19" t="s">
        <x:v>270</x:v>
      </x:c>
      <x:c r="C32" s="31" t="n">
        <x:f t="shared" ref="C32:N32" si="4">SUM(C16,C22,C29)</x:f>
        <x:v>-572.2129372491227</x:v>
      </x:c>
      <x:c r="D32" s="31">
        <x:f t="shared" si="4"/>
        <x:v>-387.74274430866512</x:v>
      </x:c>
      <x:c r="E32" s="31">
        <x:f t="shared" si="4"/>
        <x:v>-393.76905194216636</x:v>
      </x:c>
      <x:c r="F32" s="31">
        <x:f t="shared" si="4"/>
        <x:v>-387.8903914021796</x:v>
      </x:c>
      <x:c r="G32" s="31">
        <x:f t="shared" si="4"/>
        <x:v>-383.48388436366554</x:v>
      </x:c>
      <x:c r="H32" s="31">
        <x:f t="shared" si="4"/>
        <x:v>-379.92369917690905</x:v>
      </x:c>
      <x:c r="I32" s="31">
        <x:f t="shared" si="4"/>
        <x:v>-377.20506587029035</x:v>
      </x:c>
      <x:c r="J32" s="31">
        <x:f t="shared" si="4"/>
        <x:v>-375.32324320740622</x:v>
      </x:c>
      <x:c r="K32" s="31">
        <x:f t="shared" si="4"/>
        <x:v>-374.27351851471508</x:v>
      </x:c>
      <x:c r="L32" s="31">
        <x:f t="shared" si="4"/>
        <x:v>-374.05120751018751</x:v>
      </x:c>
      <x:c r="M32" s="31">
        <x:f t="shared" si="4"/>
        <x:v>-374.65165413301452</x:v>
      </x:c>
      <x:c r="N32" s="31">
        <x:f t="shared" si="4"/>
        <x:v>-376.07023037431679</x:v>
      </x:c>
    </x:row>
    <x:row r="33" ht="13.5" customHeight="1">
      <x:c r="B33" s="19" t="s">
        <x:v>271</x:v>
      </x:c>
      <x:c r="C33" s="21" t="n">
        <x:f>Assumptions!$F$51</x:f>
        <x:v>5000</x:v>
      </x:c>
      <x:c r="D33" s="31" t="n">
        <x:f t="shared" ref="D33:N33" si="5">C34</x:f>
        <x:v>4427.787062750877</x:v>
      </x:c>
      <x:c r="E33" s="31">
        <x:f t="shared" si="5"/>
        <x:v>4040.044318442212</x:v>
      </x:c>
      <x:c r="F33" s="31">
        <x:f t="shared" si="5"/>
        <x:v>3646.2752665000457</x:v>
      </x:c>
      <x:c r="G33" s="31">
        <x:f t="shared" si="5"/>
        <x:v>3258.3848750978659</x:v>
      </x:c>
      <x:c r="H33" s="31">
        <x:f t="shared" si="5"/>
        <x:v>2874.9009907342006</x:v>
      </x:c>
      <x:c r="I33" s="31">
        <x:f t="shared" si="5"/>
        <x:v>2494.9772915572917</x:v>
      </x:c>
      <x:c r="J33" s="31">
        <x:f t="shared" si="5"/>
        <x:v>2117.7722256870011</x:v>
      </x:c>
      <x:c r="K33" s="31">
        <x:f t="shared" si="5"/>
        <x:v>1742.4489824795949</x:v>
      </x:c>
      <x:c r="L33" s="31">
        <x:f t="shared" si="5"/>
        <x:v>1368.1754639648798</x:v>
      </x:c>
      <x:c r="M33" s="31">
        <x:f t="shared" si="5"/>
        <x:v>994.12425645469227</x:v>
      </x:c>
      <x:c r="N33" s="31">
        <x:f t="shared" si="5"/>
        <x:v>619.47260232167775</x:v>
      </x:c>
    </x:row>
    <x:row r="34" ht="13.5" customHeight="1">
      <x:c r="B34" s="22" t="s">
        <x:v>193</x:v>
      </x:c>
      <x:c r="C34" s="23" t="n">
        <x:f t="shared" ref="C34:N34" si="6">C33+C32</x:f>
        <x:v>4427.787062750877</x:v>
      </x:c>
      <x:c r="D34" s="23">
        <x:f t="shared" si="6"/>
        <x:v>4040.044318442212</x:v>
      </x:c>
      <x:c r="E34" s="23">
        <x:f t="shared" si="6"/>
        <x:v>3646.2752665000457</x:v>
      </x:c>
      <x:c r="F34" s="23">
        <x:f t="shared" si="6"/>
        <x:v>3258.3848750978659</x:v>
      </x:c>
      <x:c r="G34" s="23">
        <x:f t="shared" si="6"/>
        <x:v>2874.9009907342006</x:v>
      </x:c>
      <x:c r="H34" s="23">
        <x:f t="shared" si="6"/>
        <x:v>2494.9772915572917</x:v>
      </x:c>
      <x:c r="I34" s="23">
        <x:f t="shared" si="6"/>
        <x:v>2117.7722256870011</x:v>
      </x:c>
      <x:c r="J34" s="23">
        <x:f t="shared" si="6"/>
        <x:v>1742.4489824795949</x:v>
      </x:c>
      <x:c r="K34" s="23">
        <x:f t="shared" si="6"/>
        <x:v>1368.1754639648798</x:v>
      </x:c>
      <x:c r="L34" s="23">
        <x:f t="shared" si="6"/>
        <x:v>994.12425645469227</x:v>
      </x:c>
      <x:c r="M34" s="23">
        <x:f t="shared" si="6"/>
        <x:v>619.47260232167775</x:v>
      </x:c>
      <x:c r="N34" s="23">
        <x:f t="shared" si="6"/>
        <x:v>243.40237194736096</x:v>
      </x:c>
    </x:row>
    <x:row r="35" ht="13.5" customHeight="1">
      <x:c r="B35" s="19" t="s">
        <x:v>272</x:v>
      </x:c>
      <x:c r="C35" s="31" t="n">
        <x:f t="shared" ref="C35:N35" si="7">ROUND(C34-(C33+C32),2)</x:f>
        <x:v>0</x:v>
      </x:c>
      <x:c r="D35" s="31">
        <x:f t="shared" si="7"/>
        <x:v>0</x:v>
      </x:c>
      <x:c r="E35" s="31">
        <x:f t="shared" si="7"/>
        <x:v>0</x:v>
      </x:c>
      <x:c r="F35" s="31">
        <x:f t="shared" si="7"/>
        <x:v>0</x:v>
      </x:c>
      <x:c r="G35" s="31">
        <x:f t="shared" si="7"/>
        <x:v>0</x:v>
      </x:c>
      <x:c r="H35" s="31">
        <x:f t="shared" si="7"/>
        <x:v>0</x:v>
      </x:c>
      <x:c r="I35" s="31">
        <x:f t="shared" si="7"/>
        <x:v>0</x:v>
      </x:c>
      <x:c r="J35" s="31">
        <x:f t="shared" si="7"/>
        <x:v>0</x:v>
      </x:c>
      <x:c r="K35" s="31">
        <x:f t="shared" si="7"/>
        <x:v>0</x:v>
      </x:c>
      <x:c r="L35" s="31">
        <x:f t="shared" si="7"/>
        <x:v>0</x:v>
      </x:c>
      <x:c r="M35" s="31">
        <x:f t="shared" si="7"/>
        <x:v>0</x:v>
      </x:c>
      <x:c r="N35" s="31">
        <x:f t="shared" si="7"/>
        <x:v>0</x:v>
      </x:c>
    </x:row>
    <x:row r="36" ht="13.5" customHeight="1">
      <x:c r="B36" s="19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</x:row>
    <x:row r="37" ht="13.5" customHeight="1"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</x:row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31:N31"/>
    <x:mergeCell ref="B2:N3"/>
    <x:mergeCell ref="B4:N4"/>
    <x:mergeCell ref="B8:N8"/>
    <x:mergeCell ref="B20:N20"/>
    <x:mergeCell ref="B24:N2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63238"/>
  </x:sheetPr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" style="51" customWidth="1"/>
    <x:col min="3" max="3" width="12" style="51" customWidth="1"/>
    <x:col min="4" max="4" width="3" style="51" customWidth="1"/>
    <x:col min="5" max="9" width="18" style="51" customWidth="1"/>
    <x:col min="10" max="27" width="8.83203125" style="51" customWidth="1"/>
    <x:col min="28" max="16384" width="12.6640625" style="51" customWidth="0"/>
  </x:cols>
  <x:sheetData>
    <x:row r="2" ht="13.5" customHeight="1"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</x:row>
    <x:row r="3" ht="13.5" customHeight="1">
      <x:c r="B3" s="36"/>
      <x:c r="C3" s="57" t="s">
        <x:v>206</x:v>
      </x:c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9"/>
    </x:row>
    <x:row r="4" ht="13.5" customHeight="1">
      <x:c r="B4" s="36"/>
      <x:c r="C4" s="60"/>
      <x:c r="D4" s="61"/>
      <x:c r="E4" s="61"/>
      <x:c r="F4" s="61"/>
      <x:c r="G4" s="61"/>
      <x:c r="H4" s="61"/>
      <x:c r="I4" s="61"/>
      <x:c r="J4" s="61"/>
      <x:c r="K4" s="61"/>
      <x:c r="L4" s="61"/>
      <x:c r="M4" s="61"/>
      <x:c r="N4" s="61"/>
      <x:c r="O4" s="62"/>
    </x:row>
    <x:row r="5" ht="13.5" customHeight="1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6"/>
    </x:row>
    <x:row r="6" ht="13.5" customHeight="1">
      <x:c r="B6" s="36"/>
      <x:c r="C6" s="37" t="s">
        <x:v>50</x:v>
      </x:c>
      <x:c r="D6" s="36"/>
      <x:c r="E6" s="73" t="s">
        <x:v>207</x:v>
      </x:c>
      <x:c r="F6" s="67"/>
      <x:c r="G6" s="67"/>
      <x:c r="H6" s="67"/>
      <x:c r="I6" s="68"/>
      <x:c r="J6" s="36"/>
      <x:c r="K6" s="36"/>
      <x:c r="L6" s="36"/>
      <x:c r="M6" s="36"/>
      <x:c r="N6" s="36"/>
      <x:c r="O6" s="36"/>
    </x:row>
    <x:row r="7" ht="13.5" customHeight="1">
      <x:c r="B7" s="36"/>
      <x:c r="C7" s="37" t="s">
        <x:v>51</x:v>
      </x:c>
      <x:c r="D7" s="36"/>
      <x:c r="E7" s="73" t="s">
        <x:v>208</x:v>
      </x:c>
      <x:c r="F7" s="67"/>
      <x:c r="G7" s="67"/>
      <x:c r="H7" s="67"/>
      <x:c r="I7" s="68"/>
      <x:c r="J7" s="36"/>
      <x:c r="K7" s="36"/>
      <x:c r="L7" s="36"/>
      <x:c r="M7" s="36"/>
      <x:c r="N7" s="36"/>
      <x:c r="O7" s="36"/>
    </x:row>
    <x:row r="8" ht="13.5" customHeight="1">
      <x:c r="B8" s="36"/>
      <x:c r="C8" s="37" t="s">
        <x:v>52</x:v>
      </x:c>
      <x:c r="D8" s="36"/>
      <x:c r="E8" s="73" t="s">
        <x:v>209</x:v>
      </x:c>
      <x:c r="F8" s="67"/>
      <x:c r="G8" s="67"/>
      <x:c r="H8" s="67"/>
      <x:c r="I8" s="68"/>
      <x:c r="J8" s="36"/>
      <x:c r="K8" s="36"/>
      <x:c r="L8" s="36"/>
      <x:c r="M8" s="36"/>
      <x:c r="N8" s="36"/>
      <x:c r="O8" s="36"/>
    </x:row>
    <x:row r="9" ht="13.5" customHeight="1"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</x:row>
    <x:row r="10" ht="13.5" customHeight="1"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</x:row>
    <x:row r="11" ht="13.5" customHeight="1"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</x:row>
    <x:row r="12" ht="13.5" customHeight="1"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</x:row>
    <x:row r="13" ht="13.5" customHeight="1"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</x:row>
    <x:row r="14" ht="13.5" customHeight="1"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</x:row>
    <x:row r="15" ht="13.5" customHeight="1"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</x:row>
    <x:row r="16" ht="13.5" customHeight="1"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</x:row>
    <x:row r="17" ht="13.5" customHeight="1"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</x:row>
    <x:row r="18" ht="13.5" customHeight="1"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</x:row>
    <x:row r="19" ht="13.5" customHeight="1"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</x:row>
    <x:row r="20" ht="13.5" customHeight="1"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</x:row>
    <x:row r="21" ht="13.5" customHeight="1"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</x:row>
    <x:row r="22" ht="13.5" customHeight="1"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</x:row>
    <x:row r="23" ht="13.5" customHeight="1"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</x:row>
    <x:row r="24" ht="13.5" customHeight="1"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</x:row>
    <x:row r="25" ht="13.5" customHeight="1"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</x:row>
    <x:row r="26" ht="13.5" customHeight="1"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</x:row>
    <x:row r="27" ht="13.5" customHeight="1"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</x:row>
    <x:row r="28" ht="13.5" customHeight="1"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</x:row>
    <x:row r="29" ht="13.5" customHeight="1"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</x:row>
    <x:row r="30" ht="13.5" customHeight="1"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</x:row>
    <x:row r="31" ht="13.5" customHeight="1"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</x:row>
    <x:row r="32" ht="13.5" customHeight="1"/>
    <x:row r="33" s="51" customFormat="1" ht="13.5" customHeight="1"/>
    <x:row r="34" s="51" customFormat="1" ht="13.5" customHeight="1"/>
    <x:row r="35" s="51" customFormat="1" ht="13.5" customHeight="1"/>
    <x:row r="36" s="51" customFormat="1" ht="13.5" customHeight="1"/>
    <x:row r="37" s="51" customFormat="1" ht="13.5" customHeight="1"/>
    <x:row r="38" s="51" customFormat="1" ht="13.5" customHeight="1"/>
    <x:row r="39" s="51" customFormat="1" ht="13.5" customHeight="1"/>
    <x:row r="40" s="51" customFormat="1" ht="13.5" customHeight="1"/>
    <x:row r="41" s="51" customFormat="1" ht="13.5" customHeight="1"/>
    <x:row r="42" s="51" customFormat="1" ht="13.5" customHeight="1"/>
    <x:row r="43" s="51" customFormat="1" ht="13.5" customHeight="1"/>
    <x:row r="44" s="51" customFormat="1" ht="13.5" customHeight="1"/>
    <x:row r="45" s="51" customFormat="1" ht="13.5" customHeight="1"/>
    <x:row r="46" s="51" customFormat="1" ht="13.5" customHeight="1"/>
    <x:row r="47" s="51" customFormat="1" ht="13.5" customHeight="1"/>
    <x:row r="48" s="51" customFormat="1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  <x:row r="1001" s="51" customFormat="1" ht="13.5" customHeight="1"/>
  </x:sheetData>
  <x:mergeCells>
    <x:mergeCell ref="C3:O4"/>
    <x:mergeCell ref="E6:I6"/>
    <x:mergeCell ref="E7:I7"/>
    <x:mergeCell ref="E8:I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273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274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5" ht="13.5" customHeight="1"/>
    <x:row r="6" ht="13.5" customHeight="1">
      <x:c r="B6" s="50" t="s">
        <x:v>211</x:v>
      </x:c>
      <x:c r="C6" s="18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66" t="s">
        <x:v>275</x:v>
      </x:c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8"/>
    </x:row>
    <x:row r="9" ht="13.5" customHeight="1">
      <x:c r="B9" s="19" t="s">
        <x:v>276</x:v>
      </x:c>
      <x:c r="C9" s="20" t="n">
        <x:f>HC!C$66</x:f>
        <x:v>8.202</x:v>
      </x:c>
      <x:c r="D9" s="20" t="n">
        <x:f>HC!D$66</x:f>
        <x:v>8.651288000000001</x:v>
      </x:c>
      <x:c r="E9" s="20" t="n">
        <x:f>HC!E$66</x:f>
        <x:v>9.344889272</x:v>
      </x:c>
      <x:c r="F9" s="20" t="n">
        <x:f>HC!F$66</x:f>
        <x:v>10.279855882368</x:v>
      </x:c>
      <x:c r="G9" s="20" t="n">
        <x:f>HC!G$66</x:f>
        <x:v>11.209212693073793</x:v>
      </x:c>
      <x:c r="H9" s="20" t="n">
        <x:f>HC!H$66</x:f>
        <x:v>12.132993362915352</x:v>
      </x:c>
      <x:c r="I9" s="20" t="n">
        <x:f>HC!I$66</x:f>
        <x:v>13.051231348737858</x:v>
      </x:c>
      <x:c r="J9" s="20" t="n">
        <x:f>HC!J$66</x:f>
        <x:v>13.963959906645432</x:v>
      </x:c>
      <x:c r="K9" s="20" t="n">
        <x:f>HC!K$66</x:f>
        <x:v>14.87121209320556</x:v>
      </x:c>
      <x:c r="L9" s="20" t="n">
        <x:f>HC!L$66</x:f>
        <x:v>15.773020766646328</x:v>
      </x:c>
      <x:c r="M9" s="20" t="n">
        <x:f>HC!M$66</x:f>
        <x:v>16.66941858804645</x:v>
      </x:c>
      <x:c r="N9" s="20" t="n">
        <x:f>HC!N$66</x:f>
        <x:v>17.56043802251817</x:v>
      </x:c>
    </x:row>
    <x:row r="10" ht="13.5" customHeight="1">
      <x:c r="B10" s="19" t="s">
        <x:v>277</x:v>
      </x:c>
      <x:c r="C10" s="21" t="n">
        <x:f>Assumptions!$F$12</x:f>
        <x:v>55</x:v>
      </x:c>
      <x:c r="D10" s="21" t="n">
        <x:f>Assumptions!$F$12</x:f>
        <x:v>55</x:v>
      </x:c>
      <x:c r="E10" s="21" t="n">
        <x:f>Assumptions!$F$12</x:f>
        <x:v>55</x:v>
      </x:c>
      <x:c r="F10" s="21" t="n">
        <x:f>Assumptions!$F$12</x:f>
        <x:v>55</x:v>
      </x:c>
      <x:c r="G10" s="21" t="n">
        <x:f>Assumptions!$F$12</x:f>
        <x:v>55</x:v>
      </x:c>
      <x:c r="H10" s="21" t="n">
        <x:f>Assumptions!$F$12</x:f>
        <x:v>55</x:v>
      </x:c>
      <x:c r="I10" s="21" t="n">
        <x:f>Assumptions!$F$12</x:f>
        <x:v>55</x:v>
      </x:c>
      <x:c r="J10" s="21" t="n">
        <x:f>Assumptions!$F$12</x:f>
        <x:v>55</x:v>
      </x:c>
      <x:c r="K10" s="21" t="n">
        <x:f>Assumptions!$F$12</x:f>
        <x:v>55</x:v>
      </x:c>
      <x:c r="L10" s="21" t="n">
        <x:f>Assumptions!$F$12</x:f>
        <x:v>55</x:v>
      </x:c>
      <x:c r="M10" s="21" t="n">
        <x:f>Assumptions!$F$12</x:f>
        <x:v>55</x:v>
      </x:c>
      <x:c r="N10" s="21" t="n">
        <x:f>Assumptions!$F$12</x:f>
        <x:v>55</x:v>
      </x:c>
    </x:row>
    <x:row r="11" ht="13.5" customHeight="1">
      <x:c r="B11" s="22" t="s">
        <x:v>278</x:v>
      </x:c>
      <x:c r="C11" s="23" t="n">
        <x:f t="shared" ref="C11:N11" si="0">C9*C10</x:f>
        <x:v>451.11</x:v>
      </x:c>
      <x:c r="D11" s="23">
        <x:f t="shared" si="0"/>
        <x:v>475.82084000000003</x:v>
      </x:c>
      <x:c r="E11" s="23">
        <x:f t="shared" si="0"/>
        <x:v>513.96890996000002</x:v>
      </x:c>
      <x:c r="F11" s="23">
        <x:f t="shared" si="0"/>
        <x:v>565.39207353024005</x:v>
      </x:c>
      <x:c r="G11" s="23">
        <x:f t="shared" si="0"/>
        <x:v>616.50669811905857</x:v>
      </x:c>
      <x:c r="H11" s="23">
        <x:f t="shared" si="0"/>
        <x:v>667.31463496034439</x:v>
      </x:c>
      <x:c r="I11" s="23">
        <x:f t="shared" si="0"/>
        <x:v>717.81772418058222</x:v>
      </x:c>
      <x:c r="J11" s="23">
        <x:f t="shared" si="0"/>
        <x:v>768.01779486549879</x:v>
      </x:c>
      <x:c r="K11" s="23">
        <x:f t="shared" si="0"/>
        <x:v>817.91666512630582</x:v>
      </x:c>
      <x:c r="L11" s="23">
        <x:f t="shared" si="0"/>
        <x:v>867.51614216554799</x:v>
      </x:c>
      <x:c r="M11" s="23">
        <x:f t="shared" si="0"/>
        <x:v>916.81802234255485</x:v>
      </x:c>
      <x:c r="N11" s="23">
        <x:f t="shared" si="0"/>
        <x:v>965.82409123849936</x:v>
      </x:c>
    </x:row>
    <x:row r="12" ht="13.5" customHeight="1">
      <x:c r="B12" s="19" t="s">
        <x:v>279</x:v>
      </x:c>
      <x:c r="C12" s="21" t="n">
        <x:f>Assumptions!$F$13</x:f>
        <x:v>66</x:v>
      </x:c>
      <x:c r="D12" s="21" t="n">
        <x:f>Assumptions!$F$13</x:f>
        <x:v>66</x:v>
      </x:c>
      <x:c r="E12" s="21" t="n">
        <x:f>Assumptions!$F$13</x:f>
        <x:v>66</x:v>
      </x:c>
      <x:c r="F12" s="21" t="n">
        <x:f>Assumptions!$F$13</x:f>
        <x:v>66</x:v>
      </x:c>
      <x:c r="G12" s="21" t="n">
        <x:f>Assumptions!$F$13</x:f>
        <x:v>66</x:v>
      </x:c>
      <x:c r="H12" s="21" t="n">
        <x:f>Assumptions!$F$13</x:f>
        <x:v>66</x:v>
      </x:c>
      <x:c r="I12" s="21" t="n">
        <x:f>Assumptions!$F$13</x:f>
        <x:v>66</x:v>
      </x:c>
      <x:c r="J12" s="21" t="n">
        <x:f>Assumptions!$F$13</x:f>
        <x:v>66</x:v>
      </x:c>
      <x:c r="K12" s="21" t="n">
        <x:f>Assumptions!$F$13</x:f>
        <x:v>66</x:v>
      </x:c>
      <x:c r="L12" s="21" t="n">
        <x:f>Assumptions!$F$13</x:f>
        <x:v>66</x:v>
      </x:c>
      <x:c r="M12" s="21" t="n">
        <x:f>Assumptions!$F$13</x:f>
        <x:v>66</x:v>
      </x:c>
      <x:c r="N12" s="21" t="n">
        <x:f>Assumptions!$F$13</x:f>
        <x:v>66</x:v>
      </x:c>
    </x:row>
    <x:row r="13" ht="13.5" customHeight="1">
      <x:c r="B13" s="19" t="s">
        <x:v>280</x:v>
      </x:c>
      <x:c r="C13" s="24" t="n">
        <x:f t="shared" ref="C13:N13" si="1">IFERROR(C11/C12,0)</x:f>
        <x:v>6.835</x:v>
      </x:c>
      <x:c r="D13" s="24">
        <x:f t="shared" si="1"/>
        <x:v>7.2094066666666672</x:v>
      </x:c>
      <x:c r="E13" s="24">
        <x:f t="shared" si="1"/>
        <x:v>7.7874077266666673</x:v>
      </x:c>
      <x:c r="F13" s="24">
        <x:f t="shared" si="1"/>
        <x:v>8.5665465686400015</x:v>
      </x:c>
      <x:c r="G13" s="24">
        <x:f t="shared" si="1"/>
        <x:v>9.3410105775614927</x:v>
      </x:c>
      <x:c r="H13" s="24">
        <x:f t="shared" si="1"/>
        <x:v>10.11082780242946</x:v>
      </x:c>
      <x:c r="I13" s="24">
        <x:f t="shared" si="1"/>
        <x:v>10.876026123948215</x:v>
      </x:c>
      <x:c r="J13" s="24">
        <x:f t="shared" si="1"/>
        <x:v>11.636633255537861</x:v>
      </x:c>
      <x:c r="K13" s="24">
        <x:f t="shared" si="1"/>
        <x:v>12.392676744337967</x:v>
      </x:c>
      <x:c r="L13" s="24">
        <x:f t="shared" si="1"/>
        <x:v>13.144183972205273</x:v>
      </x:c>
      <x:c r="M13" s="24">
        <x:f t="shared" si="1"/>
        <x:v>13.891182156705376</x:v>
      </x:c>
      <x:c r="N13" s="24">
        <x:f t="shared" si="1"/>
        <x:v>14.633698352098476</x:v>
      </x:c>
    </x:row>
    <x:row r="14" ht="13.5" customHeight="1">
      <x:c r="B14" s="19" t="s">
        <x:v>88</x:v>
      </x:c>
      <x:c r="C14" s="25" t="n">
        <x:f>Assumptions!$F$14</x:f>
        <x:v>1</x:v>
      </x:c>
      <x:c r="D14" s="25" t="n">
        <x:f>Assumptions!$F$14</x:f>
        <x:v>1</x:v>
      </x:c>
      <x:c r="E14" s="25" t="n">
        <x:f>Assumptions!$F$14</x:f>
        <x:v>1</x:v>
      </x:c>
      <x:c r="F14" s="25" t="n">
        <x:f>Assumptions!$F$14</x:f>
        <x:v>1</x:v>
      </x:c>
      <x:c r="G14" s="25" t="n">
        <x:f>Assumptions!$F$14</x:f>
        <x:v>1</x:v>
      </x:c>
      <x:c r="H14" s="25" t="n">
        <x:f>Assumptions!$F$14</x:f>
        <x:v>1</x:v>
      </x:c>
      <x:c r="I14" s="25" t="n">
        <x:f>Assumptions!$F$14</x:f>
        <x:v>1</x:v>
      </x:c>
      <x:c r="J14" s="25" t="n">
        <x:f>Assumptions!$F$14</x:f>
        <x:v>1</x:v>
      </x:c>
      <x:c r="K14" s="25" t="n">
        <x:f>Assumptions!$F$14</x:f>
        <x:v>1</x:v>
      </x:c>
      <x:c r="L14" s="25" t="n">
        <x:f>Assumptions!$F$14</x:f>
        <x:v>1</x:v>
      </x:c>
      <x:c r="M14" s="25" t="n">
        <x:f>Assumptions!$F$14</x:f>
        <x:v>1</x:v>
      </x:c>
      <x:c r="N14" s="25" t="n">
        <x:f>Assumptions!$F$14</x:f>
        <x:v>1</x:v>
      </x:c>
    </x:row>
    <x:row r="15" ht="13.5" customHeight="1">
      <x:c r="B15" s="19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 ht="13.5" customHeight="1">
      <x:c r="B16" s="66" t="s">
        <x:v>281</x:v>
      </x:c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8"/>
    </x:row>
    <x:row r="17" ht="13.5" customHeight="1">
      <x:c r="B17" s="19" t="s">
        <x:v>282</x:v>
      </x:c>
      <x:c r="C17" s="20" t="n">
        <x:f>Assumptions!$F$8</x:f>
        <x:v>100</x:v>
      </x:c>
      <x:c r="D17" s="24" t="n">
        <x:f t="shared" ref="D17:N17" si="2">C20</x:f>
        <x:v>105.835</x:v>
      </x:c>
      <x:c r="E17" s="24">
        <x:f t="shared" si="2"/>
        <x:v>111.98605666666666</x:v>
      </x:c>
      <x:c r="F17" s="24">
        <x:f t="shared" si="2"/>
        <x:v>118.65360382666665</x:v>
      </x:c>
      <x:c r="G17" s="24">
        <x:f t="shared" si="2"/>
        <x:v>126.03361435703999</x:v>
      </x:c>
      <x:c r="H17" s="24">
        <x:f t="shared" si="2"/>
        <x:v>134.11428879103107</x:v>
      </x:c>
      <x:c r="I17" s="24">
        <x:f t="shared" si="2"/>
        <x:v>142.88397370555023</x:v>
      </x:c>
      <x:c r="J17" s="24">
        <x:f t="shared" si="2"/>
        <x:v>152.33116009244293</x:v>
      </x:c>
      <x:c r="K17" s="24">
        <x:f t="shared" si="2"/>
        <x:v>162.44448174705636</x:v>
      </x:c>
      <x:c r="L17" s="24">
        <x:f t="shared" si="2"/>
        <x:v>173.21271367392376</x:v>
      </x:c>
      <x:c r="M17" s="24">
        <x:f t="shared" si="2"/>
        <x:v>184.62477050938978</x:v>
      </x:c>
      <x:c r="N17" s="24">
        <x:f t="shared" si="2"/>
        <x:v>196.66970496100126</x:v>
      </x:c>
    </x:row>
    <x:row r="18" ht="13.5" customHeight="1">
      <x:c r="B18" s="19" t="s">
        <x:v>280</x:v>
      </x:c>
      <x:c r="C18" s="24" t="n">
        <x:f t="shared" ref="C18:N18" si="3">C13</x:f>
        <x:v>6.835</x:v>
      </x:c>
      <x:c r="D18" s="24">
        <x:f t="shared" si="3"/>
        <x:v>7.2094066666666672</x:v>
      </x:c>
      <x:c r="E18" s="24">
        <x:f t="shared" si="3"/>
        <x:v>7.7874077266666673</x:v>
      </x:c>
      <x:c r="F18" s="24">
        <x:f t="shared" si="3"/>
        <x:v>8.5665465686400015</x:v>
      </x:c>
      <x:c r="G18" s="24">
        <x:f t="shared" si="3"/>
        <x:v>9.3410105775614927</x:v>
      </x:c>
      <x:c r="H18" s="24">
        <x:f t="shared" si="3"/>
        <x:v>10.11082780242946</x:v>
      </x:c>
      <x:c r="I18" s="24">
        <x:f t="shared" si="3"/>
        <x:v>10.876026123948215</x:v>
      </x:c>
      <x:c r="J18" s="24">
        <x:f t="shared" si="3"/>
        <x:v>11.636633255537861</x:v>
      </x:c>
      <x:c r="K18" s="24">
        <x:f t="shared" si="3"/>
        <x:v>12.392676744337967</x:v>
      </x:c>
      <x:c r="L18" s="24">
        <x:f t="shared" si="3"/>
        <x:v>13.144183972205273</x:v>
      </x:c>
      <x:c r="M18" s="24">
        <x:f t="shared" si="3"/>
        <x:v>13.891182156705376</x:v>
      </x:c>
      <x:c r="N18" s="24">
        <x:f t="shared" si="3"/>
        <x:v>14.633698352098476</x:v>
      </x:c>
    </x:row>
    <x:row r="19" ht="13.5" customHeight="1">
      <x:c r="B19" s="19" t="s">
        <x:v>283</x:v>
      </x:c>
      <x:c r="C19" s="24" t="n">
        <x:f t="shared" ref="C19:N19" si="4">C17*(1-C21)</x:f>
        <x:v>1.0000000000000009</x:v>
      </x:c>
      <x:c r="D19" s="24">
        <x:f t="shared" si="4"/>
        <x:v>1.0583500000000008</x:v>
      </x:c>
      <x:c r="E19" s="24">
        <x:f t="shared" si="4"/>
        <x:v>1.1198605666666674</x:v>
      </x:c>
      <x:c r="F19" s="24">
        <x:f t="shared" si="4"/>
        <x:v>1.1865360382666676</x:v>
      </x:c>
      <x:c r="G19" s="24">
        <x:f t="shared" si="4"/>
        <x:v>1.260336143570401</x:v>
      </x:c>
      <x:c r="H19" s="24">
        <x:f t="shared" si="4"/>
        <x:v>1.341142887910312</x:v>
      </x:c>
      <x:c r="I19" s="24">
        <x:f t="shared" si="4"/>
        <x:v>1.4288397370555035</x:v>
      </x:c>
      <x:c r="J19" s="24">
        <x:f t="shared" si="4"/>
        <x:v>1.5233116009244307</x:v>
      </x:c>
      <x:c r="K19" s="24">
        <x:f t="shared" si="4"/>
        <x:v>1.624444817470565</x:v>
      </x:c>
      <x:c r="L19" s="24">
        <x:f t="shared" si="4"/>
        <x:v>1.732127136739239</x:v>
      </x:c>
      <x:c r="M19" s="24">
        <x:f t="shared" si="4"/>
        <x:v>1.8462477050938995</x:v>
      </x:c>
      <x:c r="N19" s="24">
        <x:f t="shared" si="4"/>
        <x:v>1.9666970496100142</x:v>
      </x:c>
    </x:row>
    <x:row r="20" ht="13.5" customHeight="1">
      <x:c r="B20" s="27" t="s">
        <x:v>284</x:v>
      </x:c>
      <x:c r="C20" s="28" t="n">
        <x:f t="shared" ref="C20:N20" si="5">C17+C18-C19</x:f>
        <x:v>105.835</x:v>
      </x:c>
      <x:c r="D20" s="28">
        <x:f t="shared" si="5"/>
        <x:v>111.98605666666666</x:v>
      </x:c>
      <x:c r="E20" s="28">
        <x:f t="shared" si="5"/>
        <x:v>118.65360382666665</x:v>
      </x:c>
      <x:c r="F20" s="28">
        <x:f t="shared" si="5"/>
        <x:v>126.03361435703999</x:v>
      </x:c>
      <x:c r="G20" s="28">
        <x:f t="shared" si="5"/>
        <x:v>134.11428879103107</x:v>
      </x:c>
      <x:c r="H20" s="28">
        <x:f t="shared" si="5"/>
        <x:v>142.88397370555023</x:v>
      </x:c>
      <x:c r="I20" s="28">
        <x:f t="shared" si="5"/>
        <x:v>152.33116009244293</x:v>
      </x:c>
      <x:c r="J20" s="28">
        <x:f t="shared" si="5"/>
        <x:v>162.44448174705636</x:v>
      </x:c>
      <x:c r="K20" s="28">
        <x:f t="shared" si="5"/>
        <x:v>173.21271367392376</x:v>
      </x:c>
      <x:c r="L20" s="28">
        <x:f t="shared" si="5"/>
        <x:v>184.62477050938978</x:v>
      </x:c>
      <x:c r="M20" s="28">
        <x:f t="shared" si="5"/>
        <x:v>196.66970496100126</x:v>
      </x:c>
      <x:c r="N20" s="28">
        <x:f t="shared" si="5"/>
        <x:v>209.3367062634897</x:v>
      </x:c>
    </x:row>
    <x:row r="21" ht="13.5" customHeight="1">
      <x:c r="B21" s="19" t="s">
        <x:v>91</x:v>
      </x:c>
      <x:c r="C21" s="29" t="n">
        <x:f>Assumptions!$F$15</x:f>
        <x:v>0.99</x:v>
      </x:c>
      <x:c r="D21" s="29" t="n">
        <x:f>Assumptions!$F$15</x:f>
        <x:v>0.99</x:v>
      </x:c>
      <x:c r="E21" s="29" t="n">
        <x:f>Assumptions!$F$15</x:f>
        <x:v>0.99</x:v>
      </x:c>
      <x:c r="F21" s="29" t="n">
        <x:f>Assumptions!$F$15</x:f>
        <x:v>0.99</x:v>
      </x:c>
      <x:c r="G21" s="29" t="n">
        <x:f>Assumptions!$F$15</x:f>
        <x:v>0.99</x:v>
      </x:c>
      <x:c r="H21" s="29" t="n">
        <x:f>Assumptions!$F$15</x:f>
        <x:v>0.99</x:v>
      </x:c>
      <x:c r="I21" s="29" t="n">
        <x:f>Assumptions!$F$15</x:f>
        <x:v>0.99</x:v>
      </x:c>
      <x:c r="J21" s="29" t="n">
        <x:f>Assumptions!$F$15</x:f>
        <x:v>0.99</x:v>
      </x:c>
      <x:c r="K21" s="29" t="n">
        <x:f>Assumptions!$F$15</x:f>
        <x:v>0.99</x:v>
      </x:c>
      <x:c r="L21" s="29" t="n">
        <x:f>Assumptions!$F$15</x:f>
        <x:v>0.99</x:v>
      </x:c>
      <x:c r="M21" s="29" t="n">
        <x:f>Assumptions!$F$15</x:f>
        <x:v>0.99</x:v>
      </x:c>
      <x:c r="N21" s="29" t="n">
        <x:f>Assumptions!$F$15</x:f>
        <x:v>0.99</x:v>
      </x:c>
    </x:row>
    <x:row r="22" ht="13.5" customHeight="1">
      <x:c r="B22" s="19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</x:row>
    <x:row r="23" ht="13.5" customHeight="1">
      <x:c r="B23" s="66" t="s">
        <x:v>285</x:v>
      </x:c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8"/>
    </x:row>
    <x:row r="24" ht="13.5" customHeight="1">
      <x:c r="B24" s="19" t="s">
        <x:v>94</x:v>
      </x:c>
      <x:c r="C24" s="29" t="n">
        <x:f>Assumptions!$F$16</x:f>
        <x:v>0.988</x:v>
      </x:c>
      <x:c r="D24" s="29" t="n">
        <x:f>Assumptions!$F$16</x:f>
        <x:v>0.988</x:v>
      </x:c>
      <x:c r="E24" s="29" t="n">
        <x:f>Assumptions!$F$16</x:f>
        <x:v>0.988</x:v>
      </x:c>
      <x:c r="F24" s="29" t="n">
        <x:f>Assumptions!$F$16</x:f>
        <x:v>0.988</x:v>
      </x:c>
      <x:c r="G24" s="29" t="n">
        <x:f>Assumptions!$F$16</x:f>
        <x:v>0.988</x:v>
      </x:c>
      <x:c r="H24" s="29" t="n">
        <x:f>Assumptions!$F$16</x:f>
        <x:v>0.988</x:v>
      </x:c>
      <x:c r="I24" s="29" t="n">
        <x:f>Assumptions!$F$16</x:f>
        <x:v>0.988</x:v>
      </x:c>
      <x:c r="J24" s="29" t="n">
        <x:f>Assumptions!$F$16</x:f>
        <x:v>0.988</x:v>
      </x:c>
      <x:c r="K24" s="29" t="n">
        <x:f>Assumptions!$F$16</x:f>
        <x:v>0.988</x:v>
      </x:c>
      <x:c r="L24" s="29" t="n">
        <x:f>Assumptions!$F$16</x:f>
        <x:v>0.988</x:v>
      </x:c>
      <x:c r="M24" s="29" t="n">
        <x:f>Assumptions!$F$16</x:f>
        <x:v>0.988</x:v>
      </x:c>
      <x:c r="N24" s="29" t="n">
        <x:f>Assumptions!$F$16</x:f>
        <x:v>0.988</x:v>
      </x:c>
    </x:row>
    <x:row r="25" ht="13.5" customHeight="1">
      <x:c r="B25" s="19" t="s">
        <x:v>96</x:v>
      </x:c>
      <x:c r="C25" s="29" t="n">
        <x:f>Assumptions!$F$17</x:f>
        <x:v>0.01</x:v>
      </x:c>
      <x:c r="D25" s="29" t="n">
        <x:f>Assumptions!$F$17</x:f>
        <x:v>0.01</x:v>
      </x:c>
      <x:c r="E25" s="29" t="n">
        <x:f>Assumptions!$F$17</x:f>
        <x:v>0.01</x:v>
      </x:c>
      <x:c r="F25" s="29" t="n">
        <x:f>Assumptions!$F$17</x:f>
        <x:v>0.01</x:v>
      </x:c>
      <x:c r="G25" s="29" t="n">
        <x:f>Assumptions!$F$17</x:f>
        <x:v>0.01</x:v>
      </x:c>
      <x:c r="H25" s="29" t="n">
        <x:f>Assumptions!$F$17</x:f>
        <x:v>0.01</x:v>
      </x:c>
      <x:c r="I25" s="29" t="n">
        <x:f>Assumptions!$F$17</x:f>
        <x:v>0.01</x:v>
      </x:c>
      <x:c r="J25" s="29" t="n">
        <x:f>Assumptions!$F$17</x:f>
        <x:v>0.01</x:v>
      </x:c>
      <x:c r="K25" s="29" t="n">
        <x:f>Assumptions!$F$17</x:f>
        <x:v>0.01</x:v>
      </x:c>
      <x:c r="L25" s="29" t="n">
        <x:f>Assumptions!$F$17</x:f>
        <x:v>0.01</x:v>
      </x:c>
      <x:c r="M25" s="29" t="n">
        <x:f>Assumptions!$F$17</x:f>
        <x:v>0.01</x:v>
      </x:c>
      <x:c r="N25" s="29" t="n">
        <x:f>Assumptions!$F$17</x:f>
        <x:v>0.01</x:v>
      </x:c>
    </x:row>
    <x:row r="26" ht="13.5" customHeight="1">
      <x:c r="B26" s="19" t="s">
        <x:v>98</x:v>
      </x:c>
      <x:c r="C26" s="29" t="n">
        <x:f>Assumptions!$F$18</x:f>
        <x:v>0.0025</x:v>
      </x:c>
      <x:c r="D26" s="29" t="n">
        <x:f>Assumptions!$F$18</x:f>
        <x:v>0.0025</x:v>
      </x:c>
      <x:c r="E26" s="29" t="n">
        <x:f>Assumptions!$F$18</x:f>
        <x:v>0.0025</x:v>
      </x:c>
      <x:c r="F26" s="29" t="n">
        <x:f>Assumptions!$F$18</x:f>
        <x:v>0.0025</x:v>
      </x:c>
      <x:c r="G26" s="29" t="n">
        <x:f>Assumptions!$F$18</x:f>
        <x:v>0.0025</x:v>
      </x:c>
      <x:c r="H26" s="29" t="n">
        <x:f>Assumptions!$F$18</x:f>
        <x:v>0.0025</x:v>
      </x:c>
      <x:c r="I26" s="29" t="n">
        <x:f>Assumptions!$F$18</x:f>
        <x:v>0.0025</x:v>
      </x:c>
      <x:c r="J26" s="29" t="n">
        <x:f>Assumptions!$F$18</x:f>
        <x:v>0.0025</x:v>
      </x:c>
      <x:c r="K26" s="29" t="n">
        <x:f>Assumptions!$F$18</x:f>
        <x:v>0.0025</x:v>
      </x:c>
      <x:c r="L26" s="29" t="n">
        <x:f>Assumptions!$F$18</x:f>
        <x:v>0.0025</x:v>
      </x:c>
      <x:c r="M26" s="29" t="n">
        <x:f>Assumptions!$F$18</x:f>
        <x:v>0.0025</x:v>
      </x:c>
      <x:c r="N26" s="29" t="n">
        <x:f>Assumptions!$F$18</x:f>
        <x:v>0.0025</x:v>
      </x:c>
    </x:row>
    <x:row r="27" ht="13.5" customHeight="1">
      <x:c r="B27" s="19" t="s">
        <x:v>286</x:v>
      </x:c>
      <x:c r="C27" s="21" t="n">
        <x:f>Assumptions!$F$9/12*(C24*(1+C25)*(1+C26))^1</x:f>
        <x:v>600.2248199999999</x:v>
      </x:c>
      <x:c r="D27" s="21" t="n">
        <x:f>Assumptions!$F$9/12*(D24*(1+D25)*(1+D26))^2</x:f>
        <x:v>600.4497242400538</x:v>
      </x:c>
      <x:c r="E27" s="21" t="n">
        <x:f>Assumptions!$F$9/12*(E24*(1+E25)*(1+E26))^3</x:f>
        <x:v>600.6747127517265</x:v>
      </x:c>
      <x:c r="F27" s="21" t="n">
        <x:f>Assumptions!$F$9/12*(F24*(1+F25)*(1+F26))^4</x:f>
        <x:v>600.8997855665945</x:v>
      </x:c>
      <x:c r="G27" s="21" t="n">
        <x:f>Assumptions!$F$9/12*(G24*(1+G25)*(1+G26))^5</x:f>
        <x:v>601.1249427162462</x:v>
      </x:c>
      <x:c r="H27" s="21" t="n">
        <x:f>Assumptions!$F$9/12*(H24*(1+H25)*(1+H26))^6</x:f>
        <x:v>601.3501842322819</x:v>
      </x:c>
      <x:c r="I27" s="21" t="n">
        <x:f>Assumptions!$F$9/12*(I24*(1+I25)*(1+I26))^7</x:f>
        <x:v>601.5755101463135</x:v>
      </x:c>
      <x:c r="J27" s="21" t="n">
        <x:f>Assumptions!$F$9/12*(J24*(1+J25)*(1+J26))^8</x:f>
        <x:v>601.8009204899653</x:v>
      </x:c>
      <x:c r="K27" s="21" t="n">
        <x:f>Assumptions!$F$9/12*(K24*(1+K25)*(1+K26))^9</x:f>
        <x:v>602.0264152948729</x:v>
      </x:c>
      <x:c r="L27" s="21" t="n">
        <x:f>Assumptions!$F$9/12*(L24*(1+L25)*(1+L26))^10</x:f>
        <x:v>602.2519945926837</x:v>
      </x:c>
      <x:c r="M27" s="21" t="n">
        <x:f>Assumptions!$F$9/12*(M24*(1+M25)*(1+M26))^11</x:f>
        <x:v>602.4776584150575</x:v>
      </x:c>
      <x:c r="N27" s="21" t="n">
        <x:f>Assumptions!$F$9/12*(N24*(1+N25)*(1+N26))^12</x:f>
        <x:v>602.7034067936655</x:v>
      </x:c>
    </x:row>
    <x:row r="28" ht="13.5" customHeight="1">
      <x:c r="B28" s="19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 ht="13.5" customHeight="1">
      <x:c r="B29" s="19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 ht="13.5" customHeight="1">
      <x:c r="B30" s="3" t="s">
        <x:v>287</x:v>
      </x:c>
      <x:c r="C30" s="18">
        <x:v>46388</x:v>
      </x:c>
      <x:c r="D30" s="18">
        <x:v>46419</x:v>
      </x:c>
      <x:c r="E30" s="18">
        <x:v>46447</x:v>
      </x:c>
      <x:c r="F30" s="18">
        <x:v>46478</x:v>
      </x:c>
      <x:c r="G30" s="18">
        <x:v>46508</x:v>
      </x:c>
      <x:c r="H30" s="18">
        <x:v>46539</x:v>
      </x:c>
      <x:c r="I30" s="18">
        <x:v>46569</x:v>
      </x:c>
      <x:c r="J30" s="18">
        <x:v>46600</x:v>
      </x:c>
      <x:c r="K30" s="18">
        <x:v>46631</x:v>
      </x:c>
      <x:c r="L30" s="18">
        <x:v>46661</x:v>
      </x:c>
      <x:c r="M30" s="18">
        <x:v>46692</x:v>
      </x:c>
      <x:c r="N30" s="18">
        <x:v>46722</x:v>
      </x:c>
    </x:row>
    <x:row r="31" ht="13.5" customHeight="1">
      <x:c r="B31" s="30">
        <x:v>46388</x:v>
      </x:c>
      <x:c r="C31" s="31" t="n">
        <x:f>IF(0&lt;$C$14,0,C$11/12*($C$24*(1+$C$25)*(1+$C$26))^MAX(0,0-$C$14))</x:f>
        <x:v>0</x:v>
      </x:c>
      <x:c r="D31" s="31" t="n">
        <x:f>IF(1&lt;$C$14,0,C$11/12*($C$24*(1+$C$25)*(1+$C$26))^MAX(0,1-$C$14))</x:f>
        <x:v>37.5925</x:v>
      </x:c>
      <x:c r="E31" s="31" t="n">
        <x:f>IF(2&lt;$C$14,0,C$11/12*($C$24*(1+$C$25)*(1+$C$26))^MAX(0,2-$C$14))</x:f>
        <x:v>37.606585909749995</x:v>
      </x:c>
      <x:c r="F31" s="31" t="n">
        <x:f>IF(3&lt;$C$14,0,C$11/12*($C$24*(1+$C$25)*(1+$C$26))^MAX(0,3-$C$14))</x:f>
        <x:v>37.62067709749037</x:v>
      </x:c>
      <x:c r="G31" s="31" t="n">
        <x:f>IF(4&lt;$C$14,0,C$11/12*($C$24*(1+$C$25)*(1+$C$26))^MAX(0,4-$C$14))</x:f>
        <x:v>37.6347735651988</x:v>
      </x:c>
      <x:c r="H31" s="31" t="n">
        <x:f>IF(5&lt;$C$14,0,C$11/12*($C$24*(1+$C$25)*(1+$C$26))^MAX(0,5-$C$14))</x:f>
        <x:v>37.64887531485367</x:v>
      </x:c>
      <x:c r="I31" s="31" t="n">
        <x:f>IF(6&lt;$C$14,0,C$11/12*($C$24*(1+$C$25)*(1+$C$26))^MAX(0,6-$C$14))</x:f>
        <x:v>37.66298234843414</x:v>
      </x:c>
      <x:c r="J31" s="31" t="n">
        <x:f>IF(7&lt;$C$14,0,C$11/12*($C$24*(1+$C$25)*(1+$C$26))^MAX(0,7-$C$14))</x:f>
        <x:v>37.677094667920095</x:v>
      </x:c>
      <x:c r="K31" s="31" t="n">
        <x:f>IF(8&lt;$C$14,0,C$11/12*($C$24*(1+$C$25)*(1+$C$26))^MAX(0,8-$C$14))</x:f>
        <x:v>37.69121227529215</x:v>
      </x:c>
      <x:c r="L31" s="31" t="n">
        <x:f>IF(9&lt;$C$14,0,C$11/12*($C$24*(1+$C$25)*(1+$C$26))^MAX(0,9-$C$14))</x:f>
        <x:v>37.7053351725317</x:v>
      </x:c>
      <x:c r="M31" s="31" t="n">
        <x:f>IF(10&lt;$C$14,0,C$11/12*($C$24*(1+$C$25)*(1+$C$26))^MAX(0,10-$C$14))</x:f>
        <x:v>37.719463361620846</x:v>
      </x:c>
      <x:c r="N31" s="31" t="n">
        <x:f>IF(11&lt;$C$14,0,C$11/12*($C$24*(1+$C$25)*(1+$C$26))^MAX(0,11-$C$14))</x:f>
        <x:v>37.73359684454243</x:v>
      </x:c>
    </x:row>
    <x:row r="32" ht="13.5" customHeight="1">
      <x:c r="B32" s="30">
        <x:v>46419</x:v>
      </x:c>
      <x:c r="C32" s="31" t="n">
        <x:f>IF(-1&lt;$C$14,0,D$11/12*($C$24*(1+$C$25)*(1+$C$26))^MAX(0,-1-$C$14))</x:f>
        <x:v>0</x:v>
      </x:c>
      <x:c r="D32" s="31" t="n">
        <x:f>IF(0&lt;$C$14,0,D$11/12*($C$24*(1+$C$25)*(1+$C$26))^MAX(0,0-$C$14))</x:f>
        <x:v>0</x:v>
      </x:c>
      <x:c r="E32" s="31" t="n">
        <x:f>IF(1&lt;$C$14,0,D$11/12*($C$24*(1+$C$25)*(1+$C$26))^MAX(0,1-$C$14))</x:f>
        <x:v>39.65173666666667</x:v>
      </x:c>
      <x:c r="F32" s="31" t="n">
        <x:f>IF(2&lt;$C$14,0,D$11/12*($C$24*(1+$C$25)*(1+$C$26))^MAX(0,2-$C$14))</x:f>
        <x:v>39.66659417239566</x:v>
      </x:c>
      <x:c r="G32" s="31" t="n">
        <x:f>IF(3&lt;$C$14,0,D$11/12*($C$24*(1+$C$25)*(1+$C$26))^MAX(0,3-$C$14))</x:f>
        <x:v>39.68145724523205</x:v>
      </x:c>
      <x:c r="H32" s="31" t="n">
        <x:f>IF(4&lt;$C$14,0,D$11/12*($C$24*(1+$C$25)*(1+$C$26))^MAX(0,4-$C$14))</x:f>
        <x:v>39.696325887261835</x:v>
      </x:c>
      <x:c r="I32" s="31" t="n">
        <x:f>IF(5&lt;$C$14,0,D$11/12*($C$24*(1+$C$25)*(1+$C$26))^MAX(0,5-$C$14))</x:f>
        <x:v>39.71120010057179</x:v>
      </x:c>
      <x:c r="J32" s="31" t="n">
        <x:f>IF(6&lt;$C$14,0,D$11/12*($C$24*(1+$C$25)*(1+$C$26))^MAX(0,6-$C$14))</x:f>
        <x:v>39.72607988724947</x:v>
      </x:c>
      <x:c r="K32" s="31" t="n">
        <x:f>IF(7&lt;$C$14,0,D$11/12*($C$24*(1+$C$25)*(1+$C$26))^MAX(0,7-$C$14))</x:f>
        <x:v>39.740965249383216</x:v>
      </x:c>
      <x:c r="L32" s="31" t="n">
        <x:f>IF(8&lt;$C$14,0,D$11/12*($C$24*(1+$C$25)*(1+$C$26))^MAX(0,8-$C$14))</x:f>
        <x:v>39.75585618906215</x:v>
      </x:c>
      <x:c r="M32" s="31" t="n">
        <x:f>IF(9&lt;$C$14,0,D$11/12*($C$24*(1+$C$25)*(1+$C$26))^MAX(0,9-$C$14))</x:f>
        <x:v>39.770752708376186</x:v>
      </x:c>
      <x:c r="N32" s="31" t="n">
        <x:f>IF(10&lt;$C$14,0,D$11/12*($C$24*(1+$C$25)*(1+$C$26))^MAX(0,10-$C$14))</x:f>
        <x:v>39.78565480941601</x:v>
      </x:c>
    </x:row>
    <x:row r="33" ht="13.5" customHeight="1">
      <x:c r="B33" s="30">
        <x:v>46447</x:v>
      </x:c>
      <x:c r="C33" s="31" t="n">
        <x:f>IF(-2&lt;$C$14,0,E$11/12*($C$24*(1+$C$25)*(1+$C$26))^MAX(0,-2-$C$14))</x:f>
        <x:v>0</x:v>
      </x:c>
      <x:c r="D33" s="31" t="n">
        <x:f>IF(-1&lt;$C$14,0,E$11/12*($C$24*(1+$C$25)*(1+$C$26))^MAX(0,-1-$C$14))</x:f>
        <x:v>0</x:v>
      </x:c>
      <x:c r="E33" s="31" t="n">
        <x:f>IF(0&lt;$C$14,0,E$11/12*($C$24*(1+$C$25)*(1+$C$26))^MAX(0,0-$C$14))</x:f>
        <x:v>0</x:v>
      </x:c>
      <x:c r="F33" s="31" t="n">
        <x:f>IF(1&lt;$C$14,0,E$11/12*($C$24*(1+$C$25)*(1+$C$26))^MAX(0,1-$C$14))</x:f>
        <x:v>42.830742496666666</x:v>
      </x:c>
      <x:c r="G33" s="31" t="n">
        <x:f>IF(2&lt;$C$14,0,E$11/12*($C$24*(1+$C$25)*(1+$C$26))^MAX(0,2-$C$14))</x:f>
        <x:v>42.84679117588016</x:v>
      </x:c>
      <x:c r="H33" s="31" t="n">
        <x:f>IF(3&lt;$C$14,0,E$11/12*($C$24*(1+$C$25)*(1+$C$26))^MAX(0,3-$C$14))</x:f>
        <x:v>42.86284586853375</x:v>
      </x:c>
      <x:c r="I33" s="31" t="n">
        <x:f>IF(4&lt;$C$14,0,E$11/12*($C$24*(1+$C$25)*(1+$C$26))^MAX(0,4-$C$14))</x:f>
        <x:v>42.87890657688069</x:v>
      </x:c>
      <x:c r="J33" s="31" t="n">
        <x:f>IF(5&lt;$C$14,0,E$11/12*($C$24*(1+$C$25)*(1+$C$26))^MAX(0,5-$C$14))</x:f>
        <x:v>42.89497330317504</x:v>
      </x:c>
      <x:c r="K33" s="31" t="n">
        <x:f>IF(6&lt;$C$14,0,E$11/12*($C$24*(1+$C$25)*(1+$C$26))^MAX(0,6-$C$14))</x:f>
        <x:v>42.91104604967173</x:v>
      </x:c>
      <x:c r="L33" s="31" t="n">
        <x:f>IF(7&lt;$C$14,0,E$11/12*($C$24*(1+$C$25)*(1+$C$26))^MAX(0,7-$C$14))</x:f>
        <x:v>42.92712481862654</x:v>
      </x:c>
      <x:c r="M33" s="31" t="n">
        <x:f>IF(8&lt;$C$14,0,E$11/12*($C$24*(1+$C$25)*(1+$C$26))^MAX(0,8-$C$14))</x:f>
        <x:v>42.943209612296066</x:v>
      </x:c>
      <x:c r="N33" s="31" t="n">
        <x:f>IF(9&lt;$C$14,0,E$11/12*($C$24*(1+$C$25)*(1+$C$26))^MAX(0,9-$C$14))</x:f>
        <x:v>42.95930043293779</x:v>
      </x:c>
    </x:row>
    <x:row r="34" ht="13.5" customHeight="1">
      <x:c r="B34" s="30">
        <x:v>46478</x:v>
      </x:c>
      <x:c r="C34" s="31" t="n">
        <x:f>IF(-3&lt;$C$14,0,F$11/12*($C$24*(1+$C$25)*(1+$C$26))^MAX(0,-3-$C$14))</x:f>
        <x:v>0</x:v>
      </x:c>
      <x:c r="D34" s="31" t="n">
        <x:f>IF(-2&lt;$C$14,0,F$11/12*($C$24*(1+$C$25)*(1+$C$26))^MAX(0,-2-$C$14))</x:f>
        <x:v>0</x:v>
      </x:c>
      <x:c r="E34" s="31" t="n">
        <x:f>IF(-1&lt;$C$14,0,F$11/12*($C$24*(1+$C$25)*(1+$C$26))^MAX(0,-1-$C$14))</x:f>
        <x:v>0</x:v>
      </x:c>
      <x:c r="F34" s="31" t="n">
        <x:f>IF(0&lt;$C$14,0,F$11/12*($C$24*(1+$C$25)*(1+$C$26))^MAX(0,0-$C$14))</x:f>
        <x:v>0</x:v>
      </x:c>
      <x:c r="G34" s="31" t="n">
        <x:f>IF(1&lt;$C$14,0,F$11/12*($C$24*(1+$C$25)*(1+$C$26))^MAX(0,1-$C$14))</x:f>
        <x:v>47.11600612752</x:v>
      </x:c>
      <x:c r="H34" s="31" t="n">
        <x:f>IF(2&lt;$C$14,0,F$11/12*($C$24*(1+$C$25)*(1+$C$26))^MAX(0,2-$C$14))</x:f>
        <x:v>47.133660495015974</x:v>
      </x:c>
      <x:c r="I34" s="31" t="n">
        <x:f>IF(3&lt;$C$14,0,F$11/12*($C$24*(1+$C$25)*(1+$C$26))^MAX(0,3-$C$14))</x:f>
        <x:v>47.15132147760345</x:v>
      </x:c>
      <x:c r="J34" s="31" t="n">
        <x:f>IF(4&lt;$C$14,0,F$11/12*($C$24*(1+$C$25)*(1+$C$26))^MAX(0,4-$C$14))</x:f>
        <x:v>47.168989077761104</x:v>
      </x:c>
      <x:c r="K34" s="31" t="n">
        <x:f>IF(5&lt;$C$14,0,F$11/12*($C$24*(1+$C$25)*(1+$C$26))^MAX(0,5-$C$14))</x:f>
        <x:v>47.186663297968536</x:v>
      </x:c>
      <x:c r="L34" s="31" t="n">
        <x:f>IF(6&lt;$C$14,0,F$11/12*($C$24*(1+$C$25)*(1+$C$26))^MAX(0,6-$C$14))</x:f>
        <x:v>47.204344140706276</x:v>
      </x:c>
      <x:c r="M34" s="31" t="n">
        <x:f>IF(7&lt;$C$14,0,F$11/12*($C$24*(1+$C$25)*(1+$C$26))^MAX(0,7-$C$14))</x:f>
        <x:v>47.222031608455794</x:v>
      </x:c>
      <x:c r="N34" s="31" t="n">
        <x:f>IF(8&lt;$C$14,0,F$11/12*($C$24*(1+$C$25)*(1+$C$26))^MAX(0,8-$C$14))</x:f>
        <x:v>47.23972570369946</x:v>
      </x:c>
    </x:row>
    <x:row r="35" ht="13.5" customHeight="1">
      <x:c r="B35" s="30">
        <x:v>46508</x:v>
      </x:c>
      <x:c r="C35" s="31" t="n">
        <x:f>IF(-4&lt;$C$14,0,G$11/12*($C$24*(1+$C$25)*(1+$C$26))^MAX(0,-4-$C$14))</x:f>
        <x:v>0</x:v>
      </x:c>
      <x:c r="D35" s="31" t="n">
        <x:f>IF(-3&lt;$C$14,0,G$11/12*($C$24*(1+$C$25)*(1+$C$26))^MAX(0,-3-$C$14))</x:f>
        <x:v>0</x:v>
      </x:c>
      <x:c r="E35" s="31" t="n">
        <x:f>IF(-2&lt;$C$14,0,G$11/12*($C$24*(1+$C$25)*(1+$C$26))^MAX(0,-2-$C$14))</x:f>
        <x:v>0</x:v>
      </x:c>
      <x:c r="F35" s="31" t="n">
        <x:f>IF(-1&lt;$C$14,0,G$11/12*($C$24*(1+$C$25)*(1+$C$26))^MAX(0,-1-$C$14))</x:f>
        <x:v>0</x:v>
      </x:c>
      <x:c r="G35" s="31" t="n">
        <x:f>IF(0&lt;$C$14,0,G$11/12*($C$24*(1+$C$25)*(1+$C$26))^MAX(0,0-$C$14))</x:f>
        <x:v>0</x:v>
      </x:c>
      <x:c r="H35" s="31" t="n">
        <x:f>IF(1&lt;$C$14,0,G$11/12*($C$24*(1+$C$25)*(1+$C$26))^MAX(0,1-$C$14))</x:f>
        <x:v>51.375558176588214</x:v>
      </x:c>
      <x:c r="I35" s="31" t="n">
        <x:f>IF(2&lt;$C$14,0,G$11/12*($C$24*(1+$C$25)*(1+$C$26))^MAX(0,2-$C$14))</x:f>
        <x:v>51.39480859823697</x:v>
      </x:c>
      <x:c r="J35" s="31" t="n">
        <x:f>IF(3&lt;$C$14,0,G$11/12*($C$24*(1+$C$25)*(1+$C$26))^MAX(0,3-$C$14))</x:f>
        <x:v>51.41406623301872</x:v>
      </x:c>
      <x:c r="K35" s="31" t="n">
        <x:f>IF(4&lt;$C$14,0,G$11/12*($C$24*(1+$C$25)*(1+$C$26))^MAX(0,4-$C$14))</x:f>
        <x:v>51.433331083636226</x:v>
      </x:c>
      <x:c r="L35" s="31" t="n">
        <x:f>IF(5&lt;$C$14,0,G$11/12*($C$24*(1+$C$25)*(1+$C$26))^MAX(0,5-$C$14))</x:f>
        <x:v>51.45260315279326</x:v>
      </x:c>
      <x:c r="M35" s="31" t="n">
        <x:f>IF(6&lt;$C$14,0,G$11/12*($C$24*(1+$C$25)*(1+$C$26))^MAX(0,6-$C$14))</x:f>
        <x:v>51.4718824431946</x:v>
      </x:c>
      <x:c r="N35" s="31" t="n">
        <x:f>IF(7&lt;$C$14,0,G$11/12*($C$24*(1+$C$25)*(1+$C$26))^MAX(0,7-$C$14))</x:f>
        <x:v>51.491168957546066</x:v>
      </x:c>
    </x:row>
    <x:row r="36" ht="13.5" customHeight="1">
      <x:c r="B36" s="30">
        <x:v>46539</x:v>
      </x:c>
      <x:c r="C36" s="31" t="n">
        <x:f>IF(-5&lt;$C$14,0,H$11/12*($C$24*(1+$C$25)*(1+$C$26))^MAX(0,-5-$C$14))</x:f>
        <x:v>0</x:v>
      </x:c>
      <x:c r="D36" s="31" t="n">
        <x:f>IF(-4&lt;$C$14,0,H$11/12*($C$24*(1+$C$25)*(1+$C$26))^MAX(0,-4-$C$14))</x:f>
        <x:v>0</x:v>
      </x:c>
      <x:c r="E36" s="31" t="n">
        <x:f>IF(-3&lt;$C$14,0,H$11/12*($C$24*(1+$C$25)*(1+$C$26))^MAX(0,-3-$C$14))</x:f>
        <x:v>0</x:v>
      </x:c>
      <x:c r="F36" s="31" t="n">
        <x:f>IF(-2&lt;$C$14,0,H$11/12*($C$24*(1+$C$25)*(1+$C$26))^MAX(0,-2-$C$14))</x:f>
        <x:v>0</x:v>
      </x:c>
      <x:c r="G36" s="31" t="n">
        <x:f>IF(-1&lt;$C$14,0,H$11/12*($C$24*(1+$C$25)*(1+$C$26))^MAX(0,-1-$C$14))</x:f>
        <x:v>0</x:v>
      </x:c>
      <x:c r="H36" s="31" t="n">
        <x:f>IF(0&lt;$C$14,0,H$11/12*($C$24*(1+$C$25)*(1+$C$26))^MAX(0,0-$C$14))</x:f>
        <x:v>0</x:v>
      </x:c>
      <x:c r="I36" s="31" t="n">
        <x:f>IF(1&lt;$C$14,0,H$11/12*($C$24*(1+$C$25)*(1+$C$26))^MAX(0,1-$C$14))</x:f>
        <x:v>55.60955291336203</x:v>
      </x:c>
      <x:c r="J36" s="31" t="n">
        <x:f>IF(2&lt;$C$14,0,H$11/12*($C$24*(1+$C$25)*(1+$C$26))^MAX(0,2-$C$14))</x:f>
        <x:v>55.63038981283866</x:v>
      </x:c>
      <x:c r="K36" s="31" t="n">
        <x:f>IF(3&lt;$C$14,0,H$11/12*($C$24*(1+$C$25)*(1+$C$26))^MAX(0,3-$C$14))</x:f>
        <x:v>55.65123451990152</x:v>
      </x:c>
      <x:c r="L36" s="31" t="n">
        <x:f>IF(4&lt;$C$14,0,H$11/12*($C$24*(1+$C$25)*(1+$C$26))^MAX(0,4-$C$14))</x:f>
        <x:v>55.67208703747612</x:v>
      </x:c>
      <x:c r="M36" s="31" t="n">
        <x:f>IF(5&lt;$C$14,0,H$11/12*($C$24*(1+$C$25)*(1+$C$26))^MAX(0,5-$C$14))</x:f>
        <x:v>55.69294736848905</x:v>
      </x:c>
      <x:c r="N36" s="31" t="n">
        <x:f>IF(6&lt;$C$14,0,H$11/12*($C$24*(1+$C$25)*(1+$C$26))^MAX(0,6-$C$14))</x:f>
        <x:v>55.71381551586802</x:v>
      </x:c>
    </x:row>
    <x:row r="37" ht="13.5" customHeight="1">
      <x:c r="B37" s="30">
        <x:v>46569</x:v>
      </x:c>
      <x:c r="C37" s="31" t="n">
        <x:f>IF(-6&lt;$C$14,0,I$11/12*($C$24*(1+$C$25)*(1+$C$26))^MAX(0,-6-$C$14))</x:f>
        <x:v>0</x:v>
      </x:c>
      <x:c r="D37" s="31" t="n">
        <x:f>IF(-5&lt;$C$14,0,I$11/12*($C$24*(1+$C$25)*(1+$C$26))^MAX(0,-5-$C$14))</x:f>
        <x:v>0</x:v>
      </x:c>
      <x:c r="E37" s="31" t="n">
        <x:f>IF(-4&lt;$C$14,0,I$11/12*($C$24*(1+$C$25)*(1+$C$26))^MAX(0,-4-$C$14))</x:f>
        <x:v>0</x:v>
      </x:c>
      <x:c r="F37" s="31" t="n">
        <x:f>IF(-3&lt;$C$14,0,I$11/12*($C$24*(1+$C$25)*(1+$C$26))^MAX(0,-3-$C$14))</x:f>
        <x:v>0</x:v>
      </x:c>
      <x:c r="G37" s="31" t="n">
        <x:f>IF(-2&lt;$C$14,0,I$11/12*($C$24*(1+$C$25)*(1+$C$26))^MAX(0,-2-$C$14))</x:f>
        <x:v>0</x:v>
      </x:c>
      <x:c r="H37" s="31" t="n">
        <x:f>IF(-1&lt;$C$14,0,I$11/12*($C$24*(1+$C$25)*(1+$C$26))^MAX(0,-1-$C$14))</x:f>
        <x:v>0</x:v>
      </x:c>
      <x:c r="I37" s="31" t="n">
        <x:f>IF(0&lt;$C$14,0,I$11/12*($C$24*(1+$C$25)*(1+$C$26))^MAX(0,0-$C$14))</x:f>
        <x:v>0</x:v>
      </x:c>
      <x:c r="J37" s="31" t="n">
        <x:f>IF(1&lt;$C$14,0,I$11/12*($C$24*(1+$C$25)*(1+$C$26))^MAX(0,1-$C$14))</x:f>
        <x:v>59.818143681715185</x:v>
      </x:c>
      <x:c r="K37" s="31" t="n">
        <x:f>IF(2&lt;$C$14,0,I$11/12*($C$24*(1+$C$25)*(1+$C$26))^MAX(0,2-$C$14))</x:f>
        <x:v>59.840557540152716</x:v>
      </x:c>
      <x:c r="L37" s="31" t="n">
        <x:f>IF(3&lt;$C$14,0,I$11/12*($C$24*(1+$C$25)*(1+$C$26))^MAX(0,3-$C$14))</x:f>
        <x:v>59.862979797063</x:v>
      </x:c>
      <x:c r="M37" s="31" t="n">
        <x:f>IF(4&lt;$C$14,0,I$11/12*($C$24*(1+$C$25)*(1+$C$26))^MAX(0,4-$C$14))</x:f>
        <x:v>59.88541045559295</x:v>
      </x:c>
      <x:c r="N37" s="31" t="n">
        <x:f>IF(5&lt;$C$14,0,I$11/12*($C$24*(1+$C$25)*(1+$C$26))^MAX(0,5-$C$14))</x:f>
        <x:v>59.90784951889066</x:v>
      </x:c>
    </x:row>
    <x:row r="38" ht="13.5" customHeight="1">
      <x:c r="B38" s="30">
        <x:v>46600</x:v>
      </x:c>
      <x:c r="C38" s="31" t="n">
        <x:f>IF(-7&lt;$C$14,0,J$11/12*($C$24*(1+$C$25)*(1+$C$26))^MAX(0,-7-$C$14))</x:f>
        <x:v>0</x:v>
      </x:c>
      <x:c r="D38" s="31" t="n">
        <x:f>IF(-6&lt;$C$14,0,J$11/12*($C$24*(1+$C$25)*(1+$C$26))^MAX(0,-6-$C$14))</x:f>
        <x:v>0</x:v>
      </x:c>
      <x:c r="E38" s="31" t="n">
        <x:f>IF(-5&lt;$C$14,0,J$11/12*($C$24*(1+$C$25)*(1+$C$26))^MAX(0,-5-$C$14))</x:f>
        <x:v>0</x:v>
      </x:c>
      <x:c r="F38" s="31" t="n">
        <x:f>IF(-4&lt;$C$14,0,J$11/12*($C$24*(1+$C$25)*(1+$C$26))^MAX(0,-4-$C$14))</x:f>
        <x:v>0</x:v>
      </x:c>
      <x:c r="G38" s="31" t="n">
        <x:f>IF(-3&lt;$C$14,0,J$11/12*($C$24*(1+$C$25)*(1+$C$26))^MAX(0,-3-$C$14))</x:f>
        <x:v>0</x:v>
      </x:c>
      <x:c r="H38" s="31" t="n">
        <x:f>IF(-2&lt;$C$14,0,J$11/12*($C$24*(1+$C$25)*(1+$C$26))^MAX(0,-2-$C$14))</x:f>
        <x:v>0</x:v>
      </x:c>
      <x:c r="I38" s="31" t="n">
        <x:f>IF(-1&lt;$C$14,0,J$11/12*($C$24*(1+$C$25)*(1+$C$26))^MAX(0,-1-$C$14))</x:f>
        <x:v>0</x:v>
      </x:c>
      <x:c r="J38" s="31" t="n">
        <x:f>IF(0&lt;$C$14,0,J$11/12*($C$24*(1+$C$25)*(1+$C$26))^MAX(0,0-$C$14))</x:f>
        <x:v>0</x:v>
      </x:c>
      <x:c r="K38" s="31" t="n">
        <x:f>IF(1&lt;$C$14,0,J$11/12*($C$24*(1+$C$25)*(1+$C$26))^MAX(0,1-$C$14))</x:f>
        <x:v>64.00148290545823</x:v>
      </x:c>
      <x:c r="L38" s="31" t="n">
        <x:f>IF(2&lt;$C$14,0,J$11/12*($C$24*(1+$C$25)*(1+$C$26))^MAX(0,2-$C$14))</x:f>
        <x:v>64.0254642611029</x:v>
      </x:c>
      <x:c r="M38" s="31" t="n">
        <x:f>IF(3&lt;$C$14,0,J$11/12*($C$24*(1+$C$25)*(1+$C$26))^MAX(0,3-$C$14))</x:f>
        <x:v>64.04945460256153</x:v>
      </x:c>
      <x:c r="N38" s="31" t="n">
        <x:f>IF(4&lt;$C$14,0,J$11/12*($C$24*(1+$C$25)*(1+$C$26))^MAX(0,4-$C$14))</x:f>
        <x:v>64.0734539332011</x:v>
      </x:c>
    </x:row>
    <x:row r="39" ht="13.5" customHeight="1">
      <x:c r="B39" s="30">
        <x:v>46631</x:v>
      </x:c>
      <x:c r="C39" s="31" t="n">
        <x:f>IF(-8&lt;$C$14,0,K$11/12*($C$24*(1+$C$25)*(1+$C$26))^MAX(0,-8-$C$14))</x:f>
        <x:v>0</x:v>
      </x:c>
      <x:c r="D39" s="31" t="n">
        <x:f>IF(-7&lt;$C$14,0,K$11/12*($C$24*(1+$C$25)*(1+$C$26))^MAX(0,-7-$C$14))</x:f>
        <x:v>0</x:v>
      </x:c>
      <x:c r="E39" s="31" t="n">
        <x:f>IF(-6&lt;$C$14,0,K$11/12*($C$24*(1+$C$25)*(1+$C$26))^MAX(0,-6-$C$14))</x:f>
        <x:v>0</x:v>
      </x:c>
      <x:c r="F39" s="31" t="n">
        <x:f>IF(-5&lt;$C$14,0,K$11/12*($C$24*(1+$C$25)*(1+$C$26))^MAX(0,-5-$C$14))</x:f>
        <x:v>0</x:v>
      </x:c>
      <x:c r="G39" s="31" t="n">
        <x:f>IF(-4&lt;$C$14,0,K$11/12*($C$24*(1+$C$25)*(1+$C$26))^MAX(0,-4-$C$14))</x:f>
        <x:v>0</x:v>
      </x:c>
      <x:c r="H39" s="31" t="n">
        <x:f>IF(-3&lt;$C$14,0,K$11/12*($C$24*(1+$C$25)*(1+$C$26))^MAX(0,-3-$C$14))</x:f>
        <x:v>0</x:v>
      </x:c>
      <x:c r="I39" s="31" t="n">
        <x:f>IF(-2&lt;$C$14,0,K$11/12*($C$24*(1+$C$25)*(1+$C$26))^MAX(0,-2-$C$14))</x:f>
        <x:v>0</x:v>
      </x:c>
      <x:c r="J39" s="31" t="n">
        <x:f>IF(-1&lt;$C$14,0,K$11/12*($C$24*(1+$C$25)*(1+$C$26))^MAX(0,-1-$C$14))</x:f>
        <x:v>0</x:v>
      </x:c>
      <x:c r="K39" s="31" t="n">
        <x:f>IF(0&lt;$C$14,0,K$11/12*($C$24*(1+$C$25)*(1+$C$26))^MAX(0,0-$C$14))</x:f>
        <x:v>0</x:v>
      </x:c>
      <x:c r="L39" s="31" t="n">
        <x:f>IF(1&lt;$C$14,0,K$11/12*($C$24*(1+$C$25)*(1+$C$26))^MAX(0,1-$C$14))</x:f>
        <x:v>68.15972209385882</x:v>
      </x:c>
      <x:c r="M39" s="31" t="n">
        <x:f>IF(2&lt;$C$14,0,K$11/12*($C$24*(1+$C$25)*(1+$C$26))^MAX(0,2-$C$14))</x:f>
        <x:v>68.18526154172737</x:v>
      </x:c>
      <x:c r="N39" s="31" t="n">
        <x:f>IF(3&lt;$C$14,0,K$11/12*($C$24*(1+$C$25)*(1+$C$26))^MAX(0,3-$C$14))</x:f>
        <x:v>68.21081055922706</x:v>
      </x:c>
    </x:row>
    <x:row r="40" ht="13.5" customHeight="1">
      <x:c r="B40" s="30">
        <x:v>46661</x:v>
      </x:c>
      <x:c r="C40" s="31" t="n">
        <x:f>IF(-9&lt;$C$14,0,L$11/12*($C$24*(1+$C$25)*(1+$C$26))^MAX(0,-9-$C$14))</x:f>
        <x:v>0</x:v>
      </x:c>
      <x:c r="D40" s="31" t="n">
        <x:f>IF(-8&lt;$C$14,0,L$11/12*($C$24*(1+$C$25)*(1+$C$26))^MAX(0,-8-$C$14))</x:f>
        <x:v>0</x:v>
      </x:c>
      <x:c r="E40" s="31" t="n">
        <x:f>IF(-7&lt;$C$14,0,L$11/12*($C$24*(1+$C$25)*(1+$C$26))^MAX(0,-7-$C$14))</x:f>
        <x:v>0</x:v>
      </x:c>
      <x:c r="F40" s="31" t="n">
        <x:f>IF(-6&lt;$C$14,0,L$11/12*($C$24*(1+$C$25)*(1+$C$26))^MAX(0,-6-$C$14))</x:f>
        <x:v>0</x:v>
      </x:c>
      <x:c r="G40" s="31" t="n">
        <x:f>IF(-5&lt;$C$14,0,L$11/12*($C$24*(1+$C$25)*(1+$C$26))^MAX(0,-5-$C$14))</x:f>
        <x:v>0</x:v>
      </x:c>
      <x:c r="H40" s="31" t="n">
        <x:f>IF(-4&lt;$C$14,0,L$11/12*($C$24*(1+$C$25)*(1+$C$26))^MAX(0,-4-$C$14))</x:f>
        <x:v>0</x:v>
      </x:c>
      <x:c r="I40" s="31" t="n">
        <x:f>IF(-3&lt;$C$14,0,L$11/12*($C$24*(1+$C$25)*(1+$C$26))^MAX(0,-3-$C$14))</x:f>
        <x:v>0</x:v>
      </x:c>
      <x:c r="J40" s="31" t="n">
        <x:f>IF(-2&lt;$C$14,0,L$11/12*($C$24*(1+$C$25)*(1+$C$26))^MAX(0,-2-$C$14))</x:f>
        <x:v>0</x:v>
      </x:c>
      <x:c r="K40" s="31" t="n">
        <x:f>IF(-1&lt;$C$14,0,L$11/12*($C$24*(1+$C$25)*(1+$C$26))^MAX(0,-1-$C$14))</x:f>
        <x:v>0</x:v>
      </x:c>
      <x:c r="L40" s="31" t="n">
        <x:f>IF(0&lt;$C$14,0,L$11/12*($C$24*(1+$C$25)*(1+$C$26))^MAX(0,0-$C$14))</x:f>
        <x:v>0</x:v>
      </x:c>
      <x:c r="M40" s="31" t="n">
        <x:f>IF(1&lt;$C$14,0,L$11/12*($C$24*(1+$C$25)*(1+$C$26))^MAX(0,1-$C$14))</x:f>
        <x:v>72.293011847129</x:v>
      </x:c>
      <x:c r="N40" s="31" t="n">
        <x:f>IF(2&lt;$C$14,0,L$11/12*($C$24*(1+$C$25)*(1+$C$26))^MAX(0,2-$C$14))</x:f>
        <x:v>72.3201000386681</x:v>
      </x:c>
    </x:row>
    <x:row r="41" ht="13.5" customHeight="1">
      <x:c r="B41" s="30">
        <x:v>46692</x:v>
      </x:c>
      <x:c r="C41" s="31" t="n">
        <x:f>IF(-10&lt;$C$14,0,M$11/12*($C$24*(1+$C$25)*(1+$C$26))^MAX(0,-10-$C$14))</x:f>
        <x:v>0</x:v>
      </x:c>
      <x:c r="D41" s="31" t="n">
        <x:f>IF(-9&lt;$C$14,0,M$11/12*($C$24*(1+$C$25)*(1+$C$26))^MAX(0,-9-$C$14))</x:f>
        <x:v>0</x:v>
      </x:c>
      <x:c r="E41" s="31" t="n">
        <x:f>IF(-8&lt;$C$14,0,M$11/12*($C$24*(1+$C$25)*(1+$C$26))^MAX(0,-8-$C$14))</x:f>
        <x:v>0</x:v>
      </x:c>
      <x:c r="F41" s="31" t="n">
        <x:f>IF(-7&lt;$C$14,0,M$11/12*($C$24*(1+$C$25)*(1+$C$26))^MAX(0,-7-$C$14))</x:f>
        <x:v>0</x:v>
      </x:c>
      <x:c r="G41" s="31" t="n">
        <x:f>IF(-6&lt;$C$14,0,M$11/12*($C$24*(1+$C$25)*(1+$C$26))^MAX(0,-6-$C$14))</x:f>
        <x:v>0</x:v>
      </x:c>
      <x:c r="H41" s="31" t="n">
        <x:f>IF(-5&lt;$C$14,0,M$11/12*($C$24*(1+$C$25)*(1+$C$26))^MAX(0,-5-$C$14))</x:f>
        <x:v>0</x:v>
      </x:c>
      <x:c r="I41" s="31" t="n">
        <x:f>IF(-4&lt;$C$14,0,M$11/12*($C$24*(1+$C$25)*(1+$C$26))^MAX(0,-4-$C$14))</x:f>
        <x:v>0</x:v>
      </x:c>
      <x:c r="J41" s="31" t="n">
        <x:f>IF(-3&lt;$C$14,0,M$11/12*($C$24*(1+$C$25)*(1+$C$26))^MAX(0,-3-$C$14))</x:f>
        <x:v>0</x:v>
      </x:c>
      <x:c r="K41" s="31" t="n">
        <x:f>IF(-2&lt;$C$14,0,M$11/12*($C$24*(1+$C$25)*(1+$C$26))^MAX(0,-2-$C$14))</x:f>
        <x:v>0</x:v>
      </x:c>
      <x:c r="L41" s="31" t="n">
        <x:f>IF(-1&lt;$C$14,0,M$11/12*($C$24*(1+$C$25)*(1+$C$26))^MAX(0,-1-$C$14))</x:f>
        <x:v>0</x:v>
      </x:c>
      <x:c r="M41" s="31" t="n">
        <x:f>IF(0&lt;$C$14,0,M$11/12*($C$24*(1+$C$25)*(1+$C$26))^MAX(0,0-$C$14))</x:f>
        <x:v>0</x:v>
      </x:c>
      <x:c r="N41" s="31" t="n">
        <x:f>IF(1&lt;$C$14,0,M$11/12*($C$24*(1+$C$25)*(1+$C$26))^MAX(0,1-$C$14))</x:f>
        <x:v>76.40150186187957</x:v>
      </x:c>
    </x:row>
    <x:row r="42" ht="13.5" customHeight="1">
      <x:c r="B42" s="30">
        <x:v>46722</x:v>
      </x:c>
      <x:c r="C42" s="31" t="n">
        <x:f>IF(-11&lt;$C$14,0,N$11/12*($C$24*(1+$C$25)*(1+$C$26))^MAX(0,-11-$C$14))</x:f>
        <x:v>0</x:v>
      </x:c>
      <x:c r="D42" s="31" t="n">
        <x:f>IF(-10&lt;$C$14,0,N$11/12*($C$24*(1+$C$25)*(1+$C$26))^MAX(0,-10-$C$14))</x:f>
        <x:v>0</x:v>
      </x:c>
      <x:c r="E42" s="31" t="n">
        <x:f>IF(-9&lt;$C$14,0,N$11/12*($C$24*(1+$C$25)*(1+$C$26))^MAX(0,-9-$C$14))</x:f>
        <x:v>0</x:v>
      </x:c>
      <x:c r="F42" s="31" t="n">
        <x:f>IF(-8&lt;$C$14,0,N$11/12*($C$24*(1+$C$25)*(1+$C$26))^MAX(0,-8-$C$14))</x:f>
        <x:v>0</x:v>
      </x:c>
      <x:c r="G42" s="31" t="n">
        <x:f>IF(-7&lt;$C$14,0,N$11/12*($C$24*(1+$C$25)*(1+$C$26))^MAX(0,-7-$C$14))</x:f>
        <x:v>0</x:v>
      </x:c>
      <x:c r="H42" s="31" t="n">
        <x:f>IF(-6&lt;$C$14,0,N$11/12*($C$24*(1+$C$25)*(1+$C$26))^MAX(0,-6-$C$14))</x:f>
        <x:v>0</x:v>
      </x:c>
      <x:c r="I42" s="31" t="n">
        <x:f>IF(-5&lt;$C$14,0,N$11/12*($C$24*(1+$C$25)*(1+$C$26))^MAX(0,-5-$C$14))</x:f>
        <x:v>0</x:v>
      </x:c>
      <x:c r="J42" s="31" t="n">
        <x:f>IF(-4&lt;$C$14,0,N$11/12*($C$24*(1+$C$25)*(1+$C$26))^MAX(0,-4-$C$14))</x:f>
        <x:v>0</x:v>
      </x:c>
      <x:c r="K42" s="31" t="n">
        <x:f>IF(-3&lt;$C$14,0,N$11/12*($C$24*(1+$C$25)*(1+$C$26))^MAX(0,-3-$C$14))</x:f>
        <x:v>0</x:v>
      </x:c>
      <x:c r="L42" s="31" t="n">
        <x:f>IF(-2&lt;$C$14,0,N$11/12*($C$24*(1+$C$25)*(1+$C$26))^MAX(0,-2-$C$14))</x:f>
        <x:v>0</x:v>
      </x:c>
      <x:c r="M42" s="31" t="n">
        <x:f>IF(-1&lt;$C$14,0,N$11/12*($C$24*(1+$C$25)*(1+$C$26))^MAX(0,-1-$C$14))</x:f>
        <x:v>0</x:v>
      </x:c>
      <x:c r="N42" s="31" t="n">
        <x:f>IF(0&lt;$C$14,0,N$11/12*($C$24*(1+$C$25)*(1+$C$26))^MAX(0,0-$C$14))</x:f>
        <x:v>0</x:v>
      </x:c>
    </x:row>
    <x:row r="43" ht="13.5" customHeight="1">
      <x:c r="B43" s="19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</x:row>
    <x:row r="44" ht="13.5" customHeight="1">
      <x:c r="B44" s="19" t="s">
        <x:v>288</x:v>
      </x:c>
      <x:c r="C44" s="31" t="n">
        <x:f t="shared" ref="C44:N44" si="6">SUM(C31:C42)</x:f>
        <x:v>0</x:v>
      </x:c>
      <x:c r="D44" s="31">
        <x:f t="shared" si="6"/>
        <x:v>37.592500000000001</x:v>
      </x:c>
      <x:c r="E44" s="31">
        <x:f t="shared" si="6"/>
        <x:v>77.258322576416674</x:v>
      </x:c>
      <x:c r="F44" s="31">
        <x:f t="shared" si="6"/>
        <x:v>120.11801376655271</x:v>
      </x:c>
      <x:c r="G44" s="31">
        <x:f t="shared" si="6"/>
        <x:v>167.279028113831</x:v>
      </x:c>
      <x:c r="H44" s="31">
        <x:f t="shared" si="6"/>
        <x:v>218.71726574225343</x:v>
      </x:c>
      <x:c r="I44" s="31">
        <x:f t="shared" si="6"/>
        <x:v>274.40877201508908</x:v>
      </x:c>
      <x:c r="J44" s="31">
        <x:f t="shared" si="6"/>
        <x:v>334.32973666367826</x:v>
      </x:c>
      <x:c r="K44" s="31">
        <x:f t="shared" si="6"/>
        <x:v>398.45649292146436</x:v>
      </x:c>
      <x:c r="L44" s="31">
        <x:f t="shared" si="6"/>
        <x:v>466.76551666322081</x:v>
      </x:c>
      <x:c r="M44" s="31">
        <x:f t="shared" si="6"/>
        <x:v>539.23342554944338</x:v>
      </x:c>
      <x:c r="N44" s="31">
        <x:f t="shared" si="6"/>
        <x:v>615.83697817587631</x:v>
      </x:c>
    </x:row>
    <x:row r="45" ht="13.5" customHeight="1">
      <x:c r="B45" s="19" t="s">
        <x:v>289</x:v>
      </x:c>
      <x:c r="C45" s="31" t="n">
        <x:f t="shared" ref="C45:N45" si="7">C27+C44</x:f>
        <x:v>600.2248199999999</x:v>
      </x:c>
      <x:c r="D45" s="31">
        <x:f t="shared" si="7"/>
        <x:v>638.04222424005377</x:v>
      </x:c>
      <x:c r="E45" s="31">
        <x:f t="shared" si="7"/>
        <x:v>677.93303532814321</x:v>
      </x:c>
      <x:c r="F45" s="31">
        <x:f t="shared" si="7"/>
        <x:v>721.0177993331472</x:v>
      </x:c>
      <x:c r="G45" s="31">
        <x:f t="shared" si="7"/>
        <x:v>768.40397083007724</x:v>
      </x:c>
      <x:c r="H45" s="31">
        <x:f t="shared" si="7"/>
        <x:v>820.06744997453529</x:v>
      </x:c>
      <x:c r="I45" s="31">
        <x:f t="shared" si="7"/>
        <x:v>875.98428216140269</x:v>
      </x:c>
      <x:c r="J45" s="31">
        <x:f t="shared" si="7"/>
        <x:v>936.1306571536436</x:v>
      </x:c>
      <x:c r="K45" s="31">
        <x:f t="shared" si="7"/>
        <x:v>1000.4829082163373</x:v>
      </x:c>
      <x:c r="L45" s="31">
        <x:f t="shared" si="7"/>
        <x:v>1069.0175112559045</x:v>
      </x:c>
      <x:c r="M45" s="31">
        <x:f t="shared" si="7"/>
        <x:v>1141.7110839645009</x:v>
      </x:c>
      <x:c r="N45" s="31">
        <x:f t="shared" si="7"/>
        <x:v>1218.5403849695419</x:v>
      </x:c>
    </x:row>
    <x:row r="46" ht="13.5" customHeight="1">
      <x:c r="B46" s="19" t="s">
        <x:v>100</x:v>
      </x:c>
      <x:c r="C46" s="21" t="n">
        <x:f>Assumptions!$F$19</x:f>
        <x:v>4</x:v>
      </x:c>
      <x:c r="D46" s="21" t="n">
        <x:f>Assumptions!$F$19</x:f>
        <x:v>4</x:v>
      </x:c>
      <x:c r="E46" s="21" t="n">
        <x:f>Assumptions!$F$19</x:f>
        <x:v>4</x:v>
      </x:c>
      <x:c r="F46" s="21" t="n">
        <x:f>Assumptions!$F$19</x:f>
        <x:v>4</x:v>
      </x:c>
      <x:c r="G46" s="21" t="n">
        <x:f>Assumptions!$F$19</x:f>
        <x:v>4</x:v>
      </x:c>
      <x:c r="H46" s="21" t="n">
        <x:f>Assumptions!$F$19</x:f>
        <x:v>4</x:v>
      </x:c>
      <x:c r="I46" s="21" t="n">
        <x:f>Assumptions!$F$19</x:f>
        <x:v>4</x:v>
      </x:c>
      <x:c r="J46" s="21" t="n">
        <x:f>Assumptions!$F$19</x:f>
        <x:v>4</x:v>
      </x:c>
      <x:c r="K46" s="21" t="n">
        <x:f>Assumptions!$F$19</x:f>
        <x:v>4</x:v>
      </x:c>
      <x:c r="L46" s="21" t="n">
        <x:f>Assumptions!$F$19</x:f>
        <x:v>4</x:v>
      </x:c>
      <x:c r="M46" s="21" t="n">
        <x:f>Assumptions!$F$19</x:f>
        <x:v>4</x:v>
      </x:c>
      <x:c r="N46" s="21" t="n">
        <x:f>Assumptions!$F$19</x:f>
        <x:v>4</x:v>
      </x:c>
    </x:row>
    <x:row r="47" ht="13.5" customHeight="1">
      <x:c r="B47" s="19" t="s">
        <x:v>213</x:v>
      </x:c>
      <x:c r="C47" s="31" t="n">
        <x:f t="shared" ref="C47:N47" si="8">C13*C46</x:f>
        <x:v>27.34</x:v>
      </x:c>
      <x:c r="D47" s="31">
        <x:f t="shared" si="8"/>
        <x:v>28.837626666666669</x:v>
      </x:c>
      <x:c r="E47" s="31">
        <x:f t="shared" si="8"/>
        <x:v>31.149630906666669</x:v>
      </x:c>
      <x:c r="F47" s="31">
        <x:f t="shared" si="8"/>
        <x:v>34.266186274560006</x:v>
      </x:c>
      <x:c r="G47" s="31">
        <x:f t="shared" si="8"/>
        <x:v>37.364042310245971</x:v>
      </x:c>
      <x:c r="H47" s="31">
        <x:f t="shared" si="8"/>
        <x:v>40.443311209717841</x:v>
      </x:c>
      <x:c r="I47" s="31">
        <x:f t="shared" si="8"/>
        <x:v>43.504104495792859</x:v>
      </x:c>
      <x:c r="J47" s="31">
        <x:f t="shared" si="8"/>
        <x:v>46.546533022151444</x:v>
      </x:c>
      <x:c r="K47" s="31">
        <x:f t="shared" si="8"/>
        <x:v>49.570706977351868</x:v>
      </x:c>
      <x:c r="L47" s="31">
        <x:f t="shared" si="8"/>
        <x:v>52.576735888821091</x:v>
      </x:c>
      <x:c r="M47" s="31">
        <x:f t="shared" si="8"/>
        <x:v>55.564728626821505</x:v>
      </x:c>
      <x:c r="N47" s="31">
        <x:f t="shared" si="8"/>
        <x:v>58.534793408393902</x:v>
      </x:c>
    </x:row>
    <x:row r="48" ht="13.5" customHeight="1">
      <x:c r="B48" s="22" t="s">
        <x:v>290</x:v>
      </x:c>
      <x:c r="C48" s="23" t="n">
        <x:f t="shared" ref="C48:N48" si="9">C45+C47</x:f>
        <x:v>627.5648199999999</x:v>
      </x:c>
      <x:c r="D48" s="23">
        <x:f t="shared" si="9"/>
        <x:v>666.87985090672043</x:v>
      </x:c>
      <x:c r="E48" s="23">
        <x:f t="shared" si="9"/>
        <x:v>709.08266623480984</x:v>
      </x:c>
      <x:c r="F48" s="23">
        <x:f t="shared" si="9"/>
        <x:v>755.28398560770722</x:v>
      </x:c>
      <x:c r="G48" s="23">
        <x:f t="shared" si="9"/>
        <x:v>805.76801314032321</x:v>
      </x:c>
      <x:c r="H48" s="23">
        <x:f t="shared" si="9"/>
        <x:v>860.51076118425317</x:v>
      </x:c>
      <x:c r="I48" s="23">
        <x:f t="shared" si="9"/>
        <x:v>919.48838665719552</x:v>
      </x:c>
      <x:c r="J48" s="23">
        <x:f t="shared" si="9"/>
        <x:v>982.67719017579509</x:v>
      </x:c>
      <x:c r="K48" s="23">
        <x:f t="shared" si="9"/>
        <x:v>1050.0536151936892</x:v>
      </x:c>
      <x:c r="L48" s="23">
        <x:f t="shared" si="9"/>
        <x:v>1121.5942471447256</x:v>
      </x:c>
      <x:c r="M48" s="23">
        <x:f t="shared" si="9"/>
        <x:v>1197.2758125913224</x:v>
      </x:c>
      <x:c r="N48" s="23">
        <x:f t="shared" si="9"/>
        <x:v>1277.0751783779358</x:v>
      </x:c>
    </x:row>
    <x:row r="49" ht="13.5" customHeight="1">
      <x:c r="B49" s="19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</x:row>
    <x:row r="50" ht="13.5" customHeight="1">
      <x:c r="B50" s="19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</x:row>
    <x:row r="51" ht="13.5" customHeight="1">
      <x:c r="B51" s="66" t="s">
        <x:v>291</x:v>
      </x:c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8"/>
    </x:row>
    <x:row r="52" ht="13.5" customHeight="1">
      <x:c r="B52" s="19" t="s">
        <x:v>292</x:v>
      </x:c>
      <x:c r="C52" s="31" t="n">
        <x:f t="shared" ref="C52:N52" si="10">C27</x:f>
        <x:v>600.2248199999999</x:v>
      </x:c>
      <x:c r="D52" s="31">
        <x:f t="shared" si="10"/>
        <x:v>600.4497242400538</x:v>
      </x:c>
      <x:c r="E52" s="31">
        <x:f t="shared" si="10"/>
        <x:v>600.67471275172647</x:v>
      </x:c>
      <x:c r="F52" s="31">
        <x:f t="shared" si="10"/>
        <x:v>600.89978556659446</x:v>
      </x:c>
      <x:c r="G52" s="31">
        <x:f t="shared" si="10"/>
        <x:v>601.12494271624621</x:v>
      </x:c>
      <x:c r="H52" s="31">
        <x:f t="shared" si="10"/>
        <x:v>601.35018423228189</x:v>
      </x:c>
      <x:c r="I52" s="31">
        <x:f t="shared" si="10"/>
        <x:v>601.5755101463136</x:v>
      </x:c>
      <x:c r="J52" s="31">
        <x:f t="shared" si="10"/>
        <x:v>601.80092048996539</x:v>
      </x:c>
      <x:c r="K52" s="31">
        <x:f t="shared" si="10"/>
        <x:v>602.02641529487289</x:v>
      </x:c>
      <x:c r="L52" s="31">
        <x:f t="shared" si="10"/>
        <x:v>602.25199459268379</x:v>
      </x:c>
      <x:c r="M52" s="31">
        <x:f t="shared" si="10"/>
        <x:v>602.47765841505748</x:v>
      </x:c>
      <x:c r="N52" s="31">
        <x:f t="shared" si="10"/>
        <x:v>602.70340679366564</x:v>
      </x:c>
    </x:row>
    <x:row r="53" ht="13.5" customHeight="1">
      <x:c r="B53" s="19" t="s">
        <x:v>293</x:v>
      </x:c>
      <x:c r="C53" s="31" t="n">
        <x:f t="shared" ref="C53:N53" si="11">C11</x:f>
        <x:v>451.11</x:v>
      </x:c>
      <x:c r="D53" s="31">
        <x:f t="shared" si="11"/>
        <x:v>475.82084000000003</x:v>
      </x:c>
      <x:c r="E53" s="31">
        <x:f t="shared" si="11"/>
        <x:v>513.96890996000002</x:v>
      </x:c>
      <x:c r="F53" s="31">
        <x:f t="shared" si="11"/>
        <x:v>565.39207353024005</x:v>
      </x:c>
      <x:c r="G53" s="31">
        <x:f t="shared" si="11"/>
        <x:v>616.50669811905857</x:v>
      </x:c>
      <x:c r="H53" s="31">
        <x:f t="shared" si="11"/>
        <x:v>667.31463496034439</x:v>
      </x:c>
      <x:c r="I53" s="31">
        <x:f t="shared" si="11"/>
        <x:v>717.81772418058222</x:v>
      </x:c>
      <x:c r="J53" s="31">
        <x:f t="shared" si="11"/>
        <x:v>768.01779486549879</x:v>
      </x:c>
      <x:c r="K53" s="31">
        <x:f t="shared" si="11"/>
        <x:v>817.91666512630582</x:v>
      </x:c>
      <x:c r="L53" s="31">
        <x:f t="shared" si="11"/>
        <x:v>867.51614216554799</x:v>
      </x:c>
      <x:c r="M53" s="31">
        <x:f t="shared" si="11"/>
        <x:v>916.81802234255485</x:v>
      </x:c>
      <x:c r="N53" s="31">
        <x:f t="shared" si="11"/>
        <x:v>965.82409123849936</x:v>
      </x:c>
    </x:row>
    <x:row r="54" ht="13.5" customHeight="1">
      <x:c r="B54" s="19" t="s">
        <x:v>294</x:v>
      </x:c>
      <x:c r="C54" s="31" t="n">
        <x:f t="shared" ref="C54:N54" si="12">C47</x:f>
        <x:v>27.34</x:v>
      </x:c>
      <x:c r="D54" s="31">
        <x:f t="shared" si="12"/>
        <x:v>28.837626666666669</x:v>
      </x:c>
      <x:c r="E54" s="31">
        <x:f t="shared" si="12"/>
        <x:v>31.149630906666669</x:v>
      </x:c>
      <x:c r="F54" s="31">
        <x:f t="shared" si="12"/>
        <x:v>34.266186274560006</x:v>
      </x:c>
      <x:c r="G54" s="31">
        <x:f t="shared" si="12"/>
        <x:v>37.364042310245971</x:v>
      </x:c>
      <x:c r="H54" s="31">
        <x:f t="shared" si="12"/>
        <x:v>40.443311209717841</x:v>
      </x:c>
      <x:c r="I54" s="31">
        <x:f t="shared" si="12"/>
        <x:v>43.504104495792859</x:v>
      </x:c>
      <x:c r="J54" s="31">
        <x:f t="shared" si="12"/>
        <x:v>46.546533022151444</x:v>
      </x:c>
      <x:c r="K54" s="31">
        <x:f t="shared" si="12"/>
        <x:v>49.570706977351868</x:v>
      </x:c>
      <x:c r="L54" s="31">
        <x:f t="shared" si="12"/>
        <x:v>52.576735888821091</x:v>
      </x:c>
      <x:c r="M54" s="31">
        <x:f t="shared" si="12"/>
        <x:v>55.564728626821505</x:v>
      </x:c>
      <x:c r="N54" s="31">
        <x:f t="shared" si="12"/>
        <x:v>58.534793408393902</x:v>
      </x:c>
    </x:row>
    <x:row r="55" ht="13.5" customHeight="1">
      <x:c r="B55" s="22" t="s">
        <x:v>295</x:v>
      </x:c>
      <x:c r="C55" s="23" t="n">
        <x:f t="shared" ref="C55:N55" si="13">SUM(C52:C54)</x:f>
        <x:v>1078.67482</x:v>
      </x:c>
      <x:c r="D55" s="23">
        <x:f t="shared" si="13"/>
        <x:v>1105.1081909067204</x:v>
      </x:c>
      <x:c r="E55" s="23">
        <x:f t="shared" si="13"/>
        <x:v>1145.7932536183932</x:v>
      </x:c>
      <x:c r="F55" s="23">
        <x:f t="shared" si="13"/>
        <x:v>1200.5580453713944</x:v>
      </x:c>
      <x:c r="G55" s="23">
        <x:f t="shared" si="13"/>
        <x:v>1254.9956831455509</x:v>
      </x:c>
      <x:c r="H55" s="23">
        <x:f t="shared" si="13"/>
        <x:v>1309.1081304023442</x:v>
      </x:c>
      <x:c r="I55" s="23">
        <x:f t="shared" si="13"/>
        <x:v>1362.8973388226887</x:v>
      </x:c>
      <x:c r="J55" s="23">
        <x:f t="shared" si="13"/>
        <x:v>1416.3652483776154</x:v>
      </x:c>
      <x:c r="K55" s="23">
        <x:f t="shared" si="13"/>
        <x:v>1469.5137873985307</x:v>
      </x:c>
      <x:c r="L55" s="23">
        <x:f t="shared" si="13"/>
        <x:v>1522.3448726470529</x:v>
      </x:c>
      <x:c r="M55" s="23">
        <x:f t="shared" si="13"/>
        <x:v>1574.860409384434</x:v>
      </x:c>
      <x:c r="N55" s="23">
        <x:f t="shared" si="13"/>
        <x:v>1627.062291440559</x:v>
      </x:c>
    </x:row>
    <x:row r="56" ht="13.5" customHeight="1">
      <x:c r="B56" s="19" t="s">
        <x:v>296</x:v>
      </x:c>
      <x:c r="C56" s="21" t="n">
        <x:f>Assumptions!$F$58</x:f>
        <x:v>600</x:v>
      </x:c>
      <x:c r="D56" s="31" t="n">
        <x:f t="shared" ref="D56:N56" si="14">C59</x:f>
        <x:v>1051.1100000000001</x:v>
      </x:c>
      <x:c r="E56" s="31">
        <x:f t="shared" si="14"/>
        <x:v>1489.3383399999998</x:v>
      </x:c>
      <x:c r="F56" s="31">
        <x:f t="shared" si="14"/>
        <x:v>1926.0489273835828</x:v>
      </x:c>
      <x:c r="G56" s="31">
        <x:f t="shared" si="14"/>
        <x:v>2371.3229871472704</x:v>
      </x:c>
      <x:c r="H56" s="31">
        <x:f t="shared" si="14"/>
        <x:v>2820.5506571524984</x:v>
      </x:c>
      <x:c r="I56" s="31">
        <x:f t="shared" si="14"/>
        <x:v>3269.1480263705898</x:v>
      </x:c>
      <x:c r="J56" s="31">
        <x:f t="shared" si="14"/>
        <x:v>3712.5569785360831</x:v>
      </x:c>
      <x:c r="K56" s="31">
        <x:f t="shared" si="14"/>
        <x:v>4146.2450367379042</x:v>
      </x:c>
      <x:c r="L56" s="31">
        <x:f t="shared" si="14"/>
        <x:v>4565.7052089427452</x:v>
      </x:c>
      <x:c r="M56" s="31">
        <x:f t="shared" si="14"/>
        <x:v>4966.4558344450725</x:v>
      </x:c>
      <x:c r="N56" s="31">
        <x:f t="shared" si="14"/>
        <x:v>5344.0404312381843</x:v>
      </x:c>
    </x:row>
    <x:row r="57" ht="13.5" customHeight="1">
      <x:c r="B57" s="19" t="s">
        <x:v>297</x:v>
      </x:c>
      <x:c r="C57" s="31" t="n">
        <x:f t="shared" ref="C57:N57" si="15">C55</x:f>
        <x:v>1078.67482</x:v>
      </x:c>
      <x:c r="D57" s="31">
        <x:f t="shared" si="15"/>
        <x:v>1105.1081909067204</x:v>
      </x:c>
      <x:c r="E57" s="31">
        <x:f t="shared" si="15"/>
        <x:v>1145.7932536183932</x:v>
      </x:c>
      <x:c r="F57" s="31">
        <x:f t="shared" si="15"/>
        <x:v>1200.5580453713944</x:v>
      </x:c>
      <x:c r="G57" s="31">
        <x:f t="shared" si="15"/>
        <x:v>1254.9956831455509</x:v>
      </x:c>
      <x:c r="H57" s="31">
        <x:f t="shared" si="15"/>
        <x:v>1309.1081304023442</x:v>
      </x:c>
      <x:c r="I57" s="31">
        <x:f t="shared" si="15"/>
        <x:v>1362.8973388226887</x:v>
      </x:c>
      <x:c r="J57" s="31">
        <x:f t="shared" si="15"/>
        <x:v>1416.3652483776154</x:v>
      </x:c>
      <x:c r="K57" s="31">
        <x:f t="shared" si="15"/>
        <x:v>1469.5137873985307</x:v>
      </x:c>
      <x:c r="L57" s="31">
        <x:f t="shared" si="15"/>
        <x:v>1522.3448726470529</x:v>
      </x:c>
      <x:c r="M57" s="31">
        <x:f t="shared" si="15"/>
        <x:v>1574.860409384434</x:v>
      </x:c>
      <x:c r="N57" s="31">
        <x:f t="shared" si="15"/>
        <x:v>1627.062291440559</x:v>
      </x:c>
    </x:row>
    <x:row r="58" ht="13.5" customHeight="1">
      <x:c r="B58" s="19" t="s">
        <x:v>298</x:v>
      </x:c>
      <x:c r="C58" s="31" t="n">
        <x:f t="shared" ref="C58:N58" si="16">C48</x:f>
        <x:v>627.5648199999999</x:v>
      </x:c>
      <x:c r="D58" s="31">
        <x:f t="shared" si="16"/>
        <x:v>666.87985090672043</x:v>
      </x:c>
      <x:c r="E58" s="31">
        <x:f t="shared" si="16"/>
        <x:v>709.08266623480984</x:v>
      </x:c>
      <x:c r="F58" s="31">
        <x:f t="shared" si="16"/>
        <x:v>755.28398560770722</x:v>
      </x:c>
      <x:c r="G58" s="31">
        <x:f t="shared" si="16"/>
        <x:v>805.76801314032321</x:v>
      </x:c>
      <x:c r="H58" s="31">
        <x:f t="shared" si="16"/>
        <x:v>860.51076118425317</x:v>
      </x:c>
      <x:c r="I58" s="31">
        <x:f t="shared" si="16"/>
        <x:v>919.48838665719552</x:v>
      </x:c>
      <x:c r="J58" s="31">
        <x:f t="shared" si="16"/>
        <x:v>982.67719017579509</x:v>
      </x:c>
      <x:c r="K58" s="31">
        <x:f t="shared" si="16"/>
        <x:v>1050.0536151936892</x:v>
      </x:c>
      <x:c r="L58" s="31">
        <x:f t="shared" si="16"/>
        <x:v>1121.5942471447256</x:v>
      </x:c>
      <x:c r="M58" s="31">
        <x:f t="shared" si="16"/>
        <x:v>1197.2758125913224</x:v>
      </x:c>
      <x:c r="N58" s="31">
        <x:f t="shared" si="16"/>
        <x:v>1277.0751783779358</x:v>
      </x:c>
    </x:row>
    <x:row r="59" ht="13.5" customHeight="1">
      <x:c r="B59" s="22" t="s">
        <x:v>299</x:v>
      </x:c>
      <x:c r="C59" s="23" t="n">
        <x:f t="shared" ref="C59:N59" si="17">C56+C57-C58</x:f>
        <x:v>1051.1100000000001</x:v>
      </x:c>
      <x:c r="D59" s="23">
        <x:f t="shared" si="17"/>
        <x:v>1489.3383399999998</x:v>
      </x:c>
      <x:c r="E59" s="23">
        <x:f t="shared" si="17"/>
        <x:v>1926.0489273835828</x:v>
      </x:c>
      <x:c r="F59" s="23">
        <x:f t="shared" si="17"/>
        <x:v>2371.3229871472704</x:v>
      </x:c>
      <x:c r="G59" s="23">
        <x:f t="shared" si="17"/>
        <x:v>2820.5506571524984</x:v>
      </x:c>
      <x:c r="H59" s="23">
        <x:f t="shared" si="17"/>
        <x:v>3269.1480263705898</x:v>
      </x:c>
      <x:c r="I59" s="23">
        <x:f t="shared" si="17"/>
        <x:v>3712.5569785360831</x:v>
      </x:c>
      <x:c r="J59" s="23">
        <x:f t="shared" si="17"/>
        <x:v>4146.2450367379042</x:v>
      </x:c>
      <x:c r="K59" s="23">
        <x:f t="shared" si="17"/>
        <x:v>4565.7052089427452</x:v>
      </x:c>
      <x:c r="L59" s="23">
        <x:f t="shared" si="17"/>
        <x:v>4966.4558344450725</x:v>
      </x:c>
      <x:c r="M59" s="23">
        <x:f t="shared" si="17"/>
        <x:v>5344.0404312381843</x:v>
      </x:c>
      <x:c r="N59" s="23">
        <x:f t="shared" si="17"/>
        <x:v>5694.0275443008068</x:v>
      </x:c>
    </x:row>
    <x:row r="60" ht="13.5" customHeight="1">
      <x:c r="B60" s="19" t="s">
        <x:v>300</x:v>
      </x:c>
      <x:c r="C60" s="31" t="n">
        <x:f t="shared" ref="C60:N60" si="18">C59-C56</x:f>
        <x:v>451.1100000000001</x:v>
      </x:c>
      <x:c r="D60" s="31">
        <x:f t="shared" si="18"/>
        <x:v>438.22833999999966</x:v>
      </x:c>
      <x:c r="E60" s="31">
        <x:f t="shared" si="18"/>
        <x:v>436.71058738358306</x:v>
      </x:c>
      <x:c r="F60" s="31">
        <x:f t="shared" si="18"/>
        <x:v>445.27405976368755</x:v>
      </x:c>
      <x:c r="G60" s="31">
        <x:f t="shared" si="18"/>
        <x:v>449.22767000522799</x:v>
      </x:c>
      <x:c r="H60" s="31">
        <x:f t="shared" si="18"/>
        <x:v>448.59736921809144</x:v>
      </x:c>
      <x:c r="I60" s="31">
        <x:f t="shared" si="18"/>
        <x:v>443.40895216549325</x:v>
      </x:c>
      <x:c r="J60" s="31">
        <x:f t="shared" si="18"/>
        <x:v>433.68805820182115</x:v>
      </x:c>
      <x:c r="K60" s="31">
        <x:f t="shared" si="18"/>
        <x:v>419.460172204841</x:v>
      </x:c>
      <x:c r="L60" s="31">
        <x:f t="shared" si="18"/>
        <x:v>400.75062550232724</x:v>
      </x:c>
      <x:c r="M60" s="31">
        <x:f t="shared" si="18"/>
        <x:v>377.58459679311181</x:v>
      </x:c>
      <x:c r="N60" s="31">
        <x:f t="shared" si="18"/>
        <x:v>349.98711306262248</x:v>
      </x:c>
    </x:row>
    <x:row r="61" ht="13.5" customHeight="1">
      <x:c r="B61" s="19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</x:row>
    <x:row r="62" ht="13.5" customHeight="1">
      <x:c r="B62" s="19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</x:row>
    <x:row r="63" ht="13.5" customHeight="1">
      <x:c r="B63" s="19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</x:row>
    <x:row r="64" ht="13.5" customHeight="1">
      <x:c r="B64" s="19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</x:row>
    <x:row r="65" ht="13.5" customHeight="1">
      <x:c r="B65" s="19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</x:row>
    <x:row r="66" ht="13.5" customHeight="1">
      <x:c r="B66" s="19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</x:row>
    <x:row r="67" ht="13.5" customHeight="1">
      <x:c r="B67" s="19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</x:row>
    <x:row r="68" ht="13.5" customHeight="1">
      <x:c r="B68" s="19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</x:row>
    <x:row r="69" ht="13.5" customHeight="1">
      <x:c r="B69" s="19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</x:row>
    <x:row r="70" ht="13.5" customHeight="1">
      <x:c r="B70" s="19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</x:row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51:N51"/>
    <x:mergeCell ref="B2:N3"/>
    <x:mergeCell ref="B4:N4"/>
    <x:mergeCell ref="B8:N8"/>
    <x:mergeCell ref="B16:N16"/>
    <x:mergeCell ref="B23:N23"/>
  </x:mergeCells>
  <x:conditionalFormatting sqref="C31:N42">
    <x:cfRule type="colorScale" priority="1">
      <x:colorScale>
        <x:cfvo type="min"/>
        <x:cfvo type="percentile" val="50"/>
        <x:cfvo type="max"/>
        <x:color rgb="FFFFFFFF"/>
        <x:color rgb="FFDCEAF7"/>
        <x:color rgb="FF8FB7DA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301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302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5" ht="13.5" customHeight="1"/>
    <x:row r="6" ht="13.5" customHeight="1">
      <x:c r="B6" s="50" t="s">
        <x:v>211</x:v>
      </x:c>
      <x:c r="C6" s="18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66" t="s">
        <x:v>303</x:v>
      </x:c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8"/>
    </x:row>
    <x:row r="9" ht="13.5" customHeight="1">
      <x:c r="B9" s="19" t="s">
        <x:v>212</x:v>
      </x:c>
      <x:c r="C9" s="21" t="n">
        <x:f>Revenue!C$45</x:f>
        <x:v>600.2248199999999</x:v>
      </x:c>
      <x:c r="D9" s="21" t="n">
        <x:f>Revenue!D$45</x:f>
        <x:v>638.0422242400538</x:v>
      </x:c>
      <x:c r="E9" s="21" t="n">
        <x:f>Revenue!E$45</x:f>
        <x:v>677.9330353281432</x:v>
      </x:c>
      <x:c r="F9" s="21" t="n">
        <x:f>Revenue!F$45</x:f>
        <x:v>721.0177993331472</x:v>
      </x:c>
      <x:c r="G9" s="21" t="n">
        <x:f>Revenue!G$45</x:f>
        <x:v>768.4039708300772</x:v>
      </x:c>
      <x:c r="H9" s="21" t="n">
        <x:f>Revenue!H$45</x:f>
        <x:v>820.0674499745353</x:v>
      </x:c>
      <x:c r="I9" s="21" t="n">
        <x:f>Revenue!I$45</x:f>
        <x:v>875.9842821614027</x:v>
      </x:c>
      <x:c r="J9" s="21" t="n">
        <x:f>Revenue!J$45</x:f>
        <x:v>936.1306571536436</x:v>
      </x:c>
      <x:c r="K9" s="21" t="n">
        <x:f>Revenue!K$45</x:f>
        <x:v>1000.4829082163373</x:v>
      </x:c>
      <x:c r="L9" s="21" t="n">
        <x:f>Revenue!L$45</x:f>
        <x:v>1069.0175112559045</x:v>
      </x:c>
      <x:c r="M9" s="21" t="n">
        <x:f>Revenue!M$45</x:f>
        <x:v>1141.7110839645009</x:v>
      </x:c>
      <x:c r="N9" s="21" t="n">
        <x:f>Revenue!N$45</x:f>
        <x:v>1218.540384969542</x:v>
      </x:c>
    </x:row>
    <x:row r="10" ht="13.5" customHeight="1">
      <x:c r="B10" s="19" t="s">
        <x:v>304</x:v>
      </x:c>
      <x:c r="C10" s="29" t="n">
        <x:f>Assumptions!$F$20</x:f>
        <x:v>0.18</x:v>
      </x:c>
      <x:c r="D10" s="29" t="n">
        <x:f>Assumptions!$F$20</x:f>
        <x:v>0.18</x:v>
      </x:c>
      <x:c r="E10" s="29" t="n">
        <x:f>Assumptions!$F$20</x:f>
        <x:v>0.18</x:v>
      </x:c>
      <x:c r="F10" s="29" t="n">
        <x:f>Assumptions!$F$20</x:f>
        <x:v>0.18</x:v>
      </x:c>
      <x:c r="G10" s="29" t="n">
        <x:f>Assumptions!$F$20</x:f>
        <x:v>0.18</x:v>
      </x:c>
      <x:c r="H10" s="29" t="n">
        <x:f>Assumptions!$F$20</x:f>
        <x:v>0.18</x:v>
      </x:c>
      <x:c r="I10" s="29" t="n">
        <x:f>Assumptions!$F$20</x:f>
        <x:v>0.18</x:v>
      </x:c>
      <x:c r="J10" s="29" t="n">
        <x:f>Assumptions!$F$20</x:f>
        <x:v>0.18</x:v>
      </x:c>
      <x:c r="K10" s="29" t="n">
        <x:f>Assumptions!$F$20</x:f>
        <x:v>0.18</x:v>
      </x:c>
      <x:c r="L10" s="29" t="n">
        <x:f>Assumptions!$F$20</x:f>
        <x:v>0.18</x:v>
      </x:c>
      <x:c r="M10" s="29" t="n">
        <x:f>Assumptions!$F$20</x:f>
        <x:v>0.18</x:v>
      </x:c>
      <x:c r="N10" s="29" t="n">
        <x:f>Assumptions!$F$20</x:f>
        <x:v>0.18</x:v>
      </x:c>
    </x:row>
    <x:row r="11" ht="13.5" customHeight="1">
      <x:c r="B11" s="19" t="s">
        <x:v>102</x:v>
      </x:c>
      <x:c r="C11" s="31" t="n">
        <x:f t="shared" ref="C11:N11" si="0">C9*C10</x:f>
        <x:v>108.04046759999999</x:v>
      </x:c>
      <x:c r="D11" s="31">
        <x:f t="shared" si="0"/>
        <x:v>114.84760036320968</x:v>
      </x:c>
      <x:c r="E11" s="31">
        <x:f t="shared" si="0"/>
        <x:v>122.02794635906577</x:v>
      </x:c>
      <x:c r="F11" s="31">
        <x:f t="shared" si="0"/>
        <x:v>129.78320387996649</x:v>
      </x:c>
      <x:c r="G11" s="31">
        <x:f t="shared" si="0"/>
        <x:v>138.31271474941389</x:v>
      </x:c>
      <x:c r="H11" s="31">
        <x:f t="shared" si="0"/>
        <x:v>147.61214099541635</x:v>
      </x:c>
      <x:c r="I11" s="31">
        <x:f t="shared" si="0"/>
        <x:v>157.67717078905247</x:v>
      </x:c>
      <x:c r="J11" s="31">
        <x:f t="shared" si="0"/>
        <x:v>168.50351828765585</x:v>
      </x:c>
      <x:c r="K11" s="31">
        <x:f t="shared" si="0"/>
        <x:v>180.08692347894069</x:v>
      </x:c>
      <x:c r="L11" s="31">
        <x:f t="shared" si="0"/>
        <x:v>192.42315202606281</x:v>
      </x:c>
      <x:c r="M11" s="31">
        <x:f t="shared" si="0"/>
        <x:v>205.50799511361015</x:v>
      </x:c>
      <x:c r="N11" s="31">
        <x:f t="shared" si="0"/>
        <x:v>219.33726929451754</x:v>
      </x:c>
    </x:row>
    <x:row r="12" ht="13.5" customHeight="1">
      <x:c r="B12" s="19" t="s">
        <x:v>213</x:v>
      </x:c>
      <x:c r="C12" s="21" t="n">
        <x:f>Revenue!C$47</x:f>
        <x:v>27.34</x:v>
      </x:c>
      <x:c r="D12" s="21" t="n">
        <x:f>Revenue!D$47</x:f>
        <x:v>28.83762666666667</x:v>
      </x:c>
      <x:c r="E12" s="21" t="n">
        <x:f>Revenue!E$47</x:f>
        <x:v>31.14963090666667</x:v>
      </x:c>
      <x:c r="F12" s="21" t="n">
        <x:f>Revenue!F$47</x:f>
        <x:v>34.266186274560006</x:v>
      </x:c>
      <x:c r="G12" s="21" t="n">
        <x:f>Revenue!G$47</x:f>
        <x:v>37.36404231024597</x:v>
      </x:c>
      <x:c r="H12" s="21" t="n">
        <x:f>Revenue!H$47</x:f>
        <x:v>40.44331120971784</x:v>
      </x:c>
      <x:c r="I12" s="21" t="n">
        <x:f>Revenue!I$47</x:f>
        <x:v>43.50410449579286</x:v>
      </x:c>
      <x:c r="J12" s="21" t="n">
        <x:f>Revenue!J$47</x:f>
        <x:v>46.54653302215144</x:v>
      </x:c>
      <x:c r="K12" s="21" t="n">
        <x:f>Revenue!K$47</x:f>
        <x:v>49.57070697735187</x:v>
      </x:c>
      <x:c r="L12" s="21" t="n">
        <x:f>Revenue!L$47</x:f>
        <x:v>52.57673588882109</x:v>
      </x:c>
      <x:c r="M12" s="21" t="n">
        <x:f>Revenue!M$47</x:f>
        <x:v>55.564728626821505</x:v>
      </x:c>
      <x:c r="N12" s="21" t="n">
        <x:f>Revenue!N$47</x:f>
        <x:v>58.5347934083939</x:v>
      </x:c>
    </x:row>
    <x:row r="13" ht="13.5" customHeight="1">
      <x:c r="B13" s="19" t="s">
        <x:v>305</x:v>
      </x:c>
      <x:c r="C13" s="29" t="n">
        <x:f>Assumptions!$F$21</x:f>
        <x:v>0.45</x:v>
      </x:c>
      <x:c r="D13" s="29" t="n">
        <x:f>Assumptions!$F$21</x:f>
        <x:v>0.45</x:v>
      </x:c>
      <x:c r="E13" s="29" t="n">
        <x:f>Assumptions!$F$21</x:f>
        <x:v>0.45</x:v>
      </x:c>
      <x:c r="F13" s="29" t="n">
        <x:f>Assumptions!$F$21</x:f>
        <x:v>0.45</x:v>
      </x:c>
      <x:c r="G13" s="29" t="n">
        <x:f>Assumptions!$F$21</x:f>
        <x:v>0.45</x:v>
      </x:c>
      <x:c r="H13" s="29" t="n">
        <x:f>Assumptions!$F$21</x:f>
        <x:v>0.45</x:v>
      </x:c>
      <x:c r="I13" s="29" t="n">
        <x:f>Assumptions!$F$21</x:f>
        <x:v>0.45</x:v>
      </x:c>
      <x:c r="J13" s="29" t="n">
        <x:f>Assumptions!$F$21</x:f>
        <x:v>0.45</x:v>
      </x:c>
      <x:c r="K13" s="29" t="n">
        <x:f>Assumptions!$F$21</x:f>
        <x:v>0.45</x:v>
      </x:c>
      <x:c r="L13" s="29" t="n">
        <x:f>Assumptions!$F$21</x:f>
        <x:v>0.45</x:v>
      </x:c>
      <x:c r="M13" s="29" t="n">
        <x:f>Assumptions!$F$21</x:f>
        <x:v>0.45</x:v>
      </x:c>
      <x:c r="N13" s="29" t="n">
        <x:f>Assumptions!$F$21</x:f>
        <x:v>0.45</x:v>
      </x:c>
    </x:row>
    <x:row r="14" ht="13.5" customHeight="1">
      <x:c r="B14" s="19" t="s">
        <x:v>105</x:v>
      </x:c>
      <x:c r="C14" s="31" t="n">
        <x:f t="shared" ref="C14:N14" si="1">C12*C13</x:f>
        <x:v>12.303</x:v>
      </x:c>
      <x:c r="D14" s="31">
        <x:f t="shared" si="1"/>
        <x:v>12.976932000000001</x:v>
      </x:c>
      <x:c r="E14" s="31">
        <x:f t="shared" si="1"/>
        <x:v>14.017333908000001</x:v>
      </x:c>
      <x:c r="F14" s="31">
        <x:f t="shared" si="1"/>
        <x:v>15.419783823552002</x:v>
      </x:c>
      <x:c r="G14" s="31">
        <x:f t="shared" si="1"/>
        <x:v>16.813819039610689</x:v>
      </x:c>
      <x:c r="H14" s="31">
        <x:f t="shared" si="1"/>
        <x:v>18.199490044373029</x:v>
      </x:c>
      <x:c r="I14" s="31">
        <x:f t="shared" si="1"/>
        <x:v>19.576847023106787</x:v>
      </x:c>
      <x:c r="J14" s="31">
        <x:f t="shared" si="1"/>
        <x:v>20.945939859968149</x:v>
      </x:c>
      <x:c r="K14" s="31">
        <x:f t="shared" si="1"/>
        <x:v>22.306818139808342</x:v>
      </x:c>
      <x:c r="L14" s="31">
        <x:f t="shared" si="1"/>
        <x:v>23.659531149969492</x:v>
      </x:c>
      <x:c r="M14" s="31">
        <x:f t="shared" si="1"/>
        <x:v>25.004127882069678</x:v>
      </x:c>
      <x:c r="N14" s="31">
        <x:f t="shared" si="1"/>
        <x:v>26.340657033777255</x:v>
      </x:c>
    </x:row>
    <x:row r="15" ht="13.5" customHeight="1">
      <x:c r="B15" s="19" t="s">
        <x:v>215</x:v>
      </x:c>
      <x:c r="C15" s="31" t="n">
        <x:f t="shared" ref="C15:N15" si="2">SUM(C11,C14)</x:f>
        <x:v>120.34346759999998</x:v>
      </x:c>
      <x:c r="D15" s="31">
        <x:f t="shared" si="2"/>
        <x:v>127.82453236320968</x:v>
      </x:c>
      <x:c r="E15" s="31">
        <x:f t="shared" si="2"/>
        <x:v>136.04528026706578</x:v>
      </x:c>
      <x:c r="F15" s="31">
        <x:f t="shared" si="2"/>
        <x:v>145.20298770351849</x:v>
      </x:c>
      <x:c r="G15" s="31">
        <x:f t="shared" si="2"/>
        <x:v>155.12653378902456</x:v>
      </x:c>
      <x:c r="H15" s="31">
        <x:f t="shared" si="2"/>
        <x:v>165.81163103978938</x:v>
      </x:c>
      <x:c r="I15" s="31">
        <x:f t="shared" si="2"/>
        <x:v>177.25401781215925</x:v>
      </x:c>
      <x:c r="J15" s="31">
        <x:f t="shared" si="2"/>
        <x:v>189.449458147624</x:v>
      </x:c>
      <x:c r="K15" s="31">
        <x:f t="shared" si="2"/>
        <x:v>202.39374161874903</x:v>
      </x:c>
      <x:c r="L15" s="31">
        <x:f t="shared" si="2"/>
        <x:v>216.0826831760323</x:v>
      </x:c>
      <x:c r="M15" s="31">
        <x:f t="shared" si="2"/>
        <x:v>230.51212299567982</x:v>
      </x:c>
      <x:c r="N15" s="31">
        <x:f t="shared" si="2"/>
        <x:v>245.6779263282948</x:v>
      </x:c>
    </x:row>
    <x:row r="16" ht="13.5" customHeight="1">
      <x:c r="B16" s="22" t="s">
        <x:v>216</x:v>
      </x:c>
      <x:c r="C16" s="33" t="n">
        <x:f>Revenue!C$48-C15</x:f>
        <x:v>507.22135239999994</x:v>
      </x:c>
      <x:c r="D16" s="33" t="n">
        <x:f>Revenue!D$48-D15</x:f>
        <x:v>539.0553185435108</x:v>
      </x:c>
      <x:c r="E16" s="33" t="n">
        <x:f>Revenue!E$48-E15</x:f>
        <x:v>573.0373859677441</x:v>
      </x:c>
      <x:c r="F16" s="33" t="n">
        <x:f>Revenue!F$48-F15</x:f>
        <x:v>610.0809979041887</x:v>
      </x:c>
      <x:c r="G16" s="33" t="n">
        <x:f>Revenue!G$48-G15</x:f>
        <x:v>650.6414793512986</x:v>
      </x:c>
      <x:c r="H16" s="33" t="n">
        <x:f>Revenue!H$48-H15</x:f>
        <x:v>694.6991301444638</x:v>
      </x:c>
      <x:c r="I16" s="33" t="n">
        <x:f>Revenue!I$48-I15</x:f>
        <x:v>742.2343688450362</x:v>
      </x:c>
      <x:c r="J16" s="33" t="n">
        <x:f>Revenue!J$48-J15</x:f>
        <x:v>793.2277320281711</x:v>
      </x:c>
      <x:c r="K16" s="33" t="n">
        <x:f>Revenue!K$48-K15</x:f>
        <x:v>847.6598735749402</x:v>
      </x:c>
      <x:c r="L16" s="33" t="n">
        <x:f>Revenue!L$48-L15</x:f>
        <x:v>905.5115639686933</x:v>
      </x:c>
      <x:c r="M16" s="33" t="n">
        <x:f>Revenue!M$48-M15</x:f>
        <x:v>966.7636895956425</x:v>
      </x:c>
      <x:c r="N16" s="33" t="n">
        <x:f>Revenue!N$48-N15</x:f>
        <x:v>1031.3972520496409</x:v>
      </x:c>
    </x:row>
    <x:row r="17" ht="13.5" customHeight="1">
      <x:c r="B17" s="19" t="s">
        <x:v>217</x:v>
      </x:c>
      <x:c r="C17" s="29" t="n">
        <x:f>IFERROR(C16/Revenue!C$48,0)</x:f>
        <x:v>0.8082373903623215</x:v>
      </x:c>
      <x:c r="D17" s="29" t="n">
        <x:f>IFERROR(D16/Revenue!D$48,0)</x:f>
        <x:v>0.8083244947505708</x:v>
      </x:c>
      <x:c r="E17" s="29" t="n">
        <x:f>IFERROR(E16/Revenue!E$48,0)</x:f>
        <x:v>0.8081390411227244</x:v>
      </x:c>
      <x:c r="F17" s="29" t="n">
        <x:f>IFERROR(F16/Revenue!F$48,0)</x:f>
        <x:v>0.8077504746950419</x:v>
      </x:c>
      <x:c r="G17" s="29" t="n">
        <x:f>IFERROR(G16/Revenue!G$48,0)</x:f>
        <x:v>0.8074799058050849</x:v>
      </x:c>
      <x:c r="H17" s="29" t="n">
        <x:f>IFERROR(H16/Revenue!H$48,0)</x:f>
        <x:v>0.8073102179319688</x:v>
      </x:c>
      <x:c r="I17" s="29" t="n">
        <x:f>IFERROR(I16/Revenue!I$48,0)</x:f>
        <x:v>0.8072253870910027</x:v>
      </x:c>
      <x:c r="J17" s="29" t="n">
        <x:f>IFERROR(J16/Revenue!J$48,0)</x:f>
        <x:v>0.8072108928123867</x:v>
      </x:c>
      <x:c r="K17" s="29" t="n">
        <x:f>IFERROR(K16/Revenue!K$48,0)</x:f>
        <x:v>0.8072538976198694</x:v>
      </x:c>
      <x:c r="L17" s="29" t="n">
        <x:f>IFERROR(L16/Revenue!L$48,0)</x:f>
        <x:v>0.8073432672054799</x:v>
      </x:c>
      <x:c r="M17" s="29" t="n">
        <x:f>IFERROR(M16/Revenue!M$48,0)</x:f>
        <x:v>0.8074694898439724</x:v>
      </x:c>
      <x:c r="N17" s="29" t="n">
        <x:f>IFERROR(N16/Revenue!N$48,0)</x:f>
        <x:v>0.8076245388777031</x:v>
      </x:c>
    </x:row>
    <x:row r="18" ht="13.5" customHeight="1">
      <x:c r="B18" s="19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</x:row>
    <x:row r="19" ht="13.5" customHeight="1">
      <x:c r="B19" s="66" t="s">
        <x:v>306</x:v>
      </x:c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8"/>
    </x:row>
    <x:row r="20" ht="13.5" customHeight="1">
      <x:c r="B20" s="19" t="s">
        <x:v>307</x:v>
      </x:c>
      <x:c r="C20" s="21" t="n">
        <x:f>HC!C$14</x:f>
        <x:v>98.88666666666666</x:v>
      </x:c>
      <x:c r="D20" s="21" t="n">
        <x:f>HC!D$14</x:f>
        <x:v>109.96001333333334</x:v>
      </x:c>
      <x:c r="E20" s="21" t="n">
        <x:f>HC!E$14</x:f>
        <x:v>120.96691992</x:v>
      </x:c>
      <x:c r="F20" s="21" t="n">
        <x:f>HC!F$14</x:f>
        <x:v>131.90778506714668</x:v>
      </x:c>
      <x:c r="G20" s="21" t="n">
        <x:f>HC!G$14</x:f>
        <x:v>142.78300502341048</x:v>
      </x:c>
      <x:c r="H20" s="21" t="n">
        <x:f>HC!H$14</x:f>
        <x:v>153.59297365993666</x:v>
      </x:c>
      <x:c r="I20" s="21" t="n">
        <x:f>HC!I$14</x:f>
        <x:v>164.3380824846437</x:v>
      </x:c>
      <x:c r="J20" s="21" t="n">
        <x:f>HC!J$14</x:f>
        <x:v>175.0187206564025</x:v>
      </x:c>
      <x:c r="K20" s="21" t="n">
        <x:f>HC!K$14</x:f>
        <x:v>185.63527499913076</x:v>
      </x:c>
      <x:c r="L20" s="21" t="n">
        <x:f>HC!L$14</x:f>
        <x:v>196.1881300158026</x:v>
      </x:c>
      <x:c r="M20" s="21" t="n">
        <x:f>HC!M$14</x:f>
        <x:v>206.6776679023745</x:v>
      </x:c>
      <x:c r="N20" s="21" t="n">
        <x:f>HC!N$14</x:f>
        <x:v>217.10426856162692</x:v>
      </x:c>
    </x:row>
    <x:row r="21" ht="13.5" customHeight="1">
      <x:c r="B21" s="19" t="s">
        <x:v>308</x:v>
      </x:c>
      <x:c r="C21" s="21" t="n">
        <x:f>HC!C$22</x:f>
        <x:v>253.63249999999996</x:v>
      </x:c>
      <x:c r="D21" s="21" t="n">
        <x:f>HC!D$22</x:f>
        <x:v>265.860705</x:v>
      </x:c>
      <x:c r="E21" s="21" t="n">
        <x:f>HC!E$22</x:f>
        <x:v>278.01554077</x:v>
      </x:c>
      <x:c r="F21" s="21" t="n">
        <x:f>HC!F$22</x:f>
        <x:v>290.09744752538</x:v>
      </x:c>
      <x:c r="G21" s="21" t="n">
        <x:f>HC!G$22</x:f>
        <x:v>302.10686284022773</x:v>
      </x:c>
      <x:c r="H21" s="21" t="n">
        <x:f>HC!H$22</x:f>
        <x:v>314.0442216631863</x:v>
      </x:c>
      <x:c r="I21" s="21" t="n">
        <x:f>HC!I$22</x:f>
        <x:v>325.9099563332072</x:v>
      </x:c>
      <x:c r="J21" s="21" t="n">
        <x:f>HC!J$22</x:f>
        <x:v>337.70449659520796</x:v>
      </x:c>
      <x:c r="K21" s="21" t="n">
        <x:f>HC!K$22</x:f>
        <x:v>349.42826961563674</x:v>
      </x:c>
      <x:c r="L21" s="21" t="n">
        <x:f>HC!L$22</x:f>
        <x:v>361.08169999794285</x:v>
      </x:c>
      <x:c r="M21" s="21" t="n">
        <x:f>HC!M$22</x:f>
        <x:v>372.66520979795524</x:v>
      </x:c>
      <x:c r="N21" s="21" t="n">
        <x:f>HC!N$22</x:f>
        <x:v>384.17921853916755</x:v>
      </x:c>
    </x:row>
    <x:row r="22" ht="13.5" customHeight="1">
      <x:c r="B22" s="19" t="s">
        <x:v>309</x:v>
      </x:c>
      <x:c r="C22" s="21" t="n">
        <x:f>HC!C$30</x:f>
        <x:v>123.49166666666666</x:v>
      </x:c>
      <x:c r="D22" s="21" t="n">
        <x:f>HC!D$30</x:f>
        <x:v>128.79238333333333</x:v>
      </x:c>
      <x:c r="E22" s="21" t="n">
        <x:f>HC!E$30</x:f>
        <x:v>134.0612957</x:v>
      </x:c>
      <x:c r="F22" s="21" t="n">
        <x:f>HC!F$30</x:f>
        <x:v>139.29859459246663</x:v>
      </x:c>
      <x:c r="G22" s="21" t="n">
        <x:f>HC!G$30</x:f>
        <x:v>144.50446969157852</x:v>
      </x:c>
      <x:c r="H22" s="21" t="n">
        <x:f>HC!H$30</x:f>
        <x:v>149.67910954009574</x:v>
      </x:c>
      <x:c r="I22" s="21" t="n">
        <x:f>HC!I$30</x:f>
        <x:v>154.82270154952184</x:v>
      </x:c>
      <x:c r="J22" s="21" t="n">
        <x:f>HC!J$30</x:f>
        <x:v>159.93543200689138</x:v>
      </x:c>
      <x:c r="K22" s="21" t="n">
        <x:f>HC!K$30</x:f>
        <x:v>165.0174860815167</x:v>
      </x:c>
      <x:c r="L22" s="21" t="n">
        <x:f>HC!L$30</x:f>
        <x:v>170.06904783169423</x:v>
      </x:c>
      <x:c r="M22" s="21" t="n">
        <x:f>HC!M$30</x:f>
        <x:v>175.09030021137076</x:v>
      </x:c>
      <x:c r="N22" s="21" t="n">
        <x:f>HC!N$30</x:f>
        <x:v>180.0814250767692</x:v>
      </x:c>
    </x:row>
    <x:row r="23" ht="13.5" customHeight="1">
      <x:c r="B23" s="19" t="s">
        <x:v>310</x:v>
      </x:c>
      <x:c r="C23" s="21" t="n">
        <x:f>HC!C$38</x:f>
        <x:v>104.63791666666664</x:v>
      </x:c>
      <x:c r="D23" s="21" t="n">
        <x:f>HC!D$38</x:f>
        <x:v>107.23925583333333</x:v>
      </x:c>
      <x:c r="E23" s="21" t="n">
        <x:f>HC!E$38</x:f>
        <x:v>109.824986965</x:v>
      </x:c>
      <x:c r="F23" s="21" t="n">
        <x:f>HC!F$38</x:f>
        <x:v>112.39520370987664</x:v>
      </x:c>
      <x:c r="G23" s="21" t="n">
        <x:f>HC!G$38</x:f>
        <x:v>114.9499991542841</x:v>
      </x:c>
      <x:c r="H23" s="21" t="n">
        <x:f>HC!H$38</x:f>
        <x:v>117.48946582602504</x:v>
      </x:c>
      <x:c r="I23" s="21" t="n">
        <x:f>HC!I$38</x:f>
        <x:v>120.01369569773557</x:v>
      </x:c>
      <x:c r="J23" s="21" t="n">
        <x:f>HC!J$38</x:f>
        <x:v>122.52278019021581</x:v>
      </x:c>
      <x:c r="K23" s="21" t="n">
        <x:f>HC!K$38</x:f>
        <x:v>125.01681017574118</x:v>
      </x:c>
      <x:c r="L23" s="21" t="n">
        <x:f>HC!L$38</x:f>
        <x:v>127.49587598135344</x:v>
      </x:c>
      <x:c r="M23" s="21" t="n">
        <x:f>HC!M$38</x:f>
        <x:v>129.96006739213195</x:v>
      </x:c>
      <x:c r="N23" s="21" t="n">
        <x:f>HC!N$38</x:f>
        <x:v>132.40947365444583</x:v>
      </x:c>
    </x:row>
    <x:row r="24" ht="13.5" customHeight="1">
      <x:c r="B24" s="19" t="s">
        <x:v>311</x:v>
      </x:c>
      <x:c r="C24" s="21" t="n">
        <x:f>HC!C$46</x:f>
        <x:v>122.14</x:v>
      </x:c>
      <x:c r="D24" s="21" t="n">
        <x:f>HC!D$46</x:f>
        <x:v>126.40716000000002</x:v>
      </x:c>
      <x:c r="E24" s="21" t="n">
        <x:f>HC!E$46</x:f>
        <x:v>130.64871704</x:v>
      </x:c>
      <x:c r="F24" s="21" t="n">
        <x:f>HC!F$46</x:f>
        <x:v>134.86482473776002</x:v>
      </x:c>
      <x:c r="G24" s="21" t="n">
        <x:f>HC!G$46</x:f>
        <x:v>139.05563578933345</x:v>
      </x:c>
      <x:c r="H24" s="21" t="n">
        <x:f>HC!H$46</x:f>
        <x:v>143.22130197459742</x:v>
      </x:c>
      <x:c r="I24" s="21" t="n">
        <x:f>HC!I$46</x:f>
        <x:v>147.36197416274985</x:v>
      </x:c>
      <x:c r="J24" s="21" t="n">
        <x:f>HC!J$46</x:f>
        <x:v>151.47780231777332</x:v>
      </x:c>
      <x:c r="K24" s="21" t="n">
        <x:f>HC!K$46</x:f>
        <x:v>155.5689355038667</x:v>
      </x:c>
      <x:c r="L24" s="21" t="n">
        <x:f>HC!L$46</x:f>
        <x:v>159.6355218908435</x:v>
      </x:c>
      <x:c r="M24" s="21" t="n">
        <x:f>HC!M$46</x:f>
        <x:v>163.67770875949844</x:v>
      </x:c>
      <x:c r="N24" s="21" t="n">
        <x:f>HC!N$46</x:f>
        <x:v>167.69564250694145</x:v>
      </x:c>
    </x:row>
    <x:row r="25" ht="13.5" customHeight="1">
      <x:c r="B25" s="22" t="s">
        <x:v>312</x:v>
      </x:c>
      <x:c r="C25" s="23" t="n">
        <x:f t="shared" ref="C25:N25" si="3">SUM(C20:C24)</x:f>
        <x:v>702.7887499999999</x:v>
      </x:c>
      <x:c r="D25" s="23">
        <x:f t="shared" si="3"/>
        <x:v>738.25951750000002</x:v>
      </x:c>
      <x:c r="E25" s="23">
        <x:f t="shared" si="3"/>
        <x:v>773.51746039499994</x:v>
      </x:c>
      <x:c r="F25" s="23">
        <x:f t="shared" si="3"/>
        <x:v>808.56385563263007</x:v>
      </x:c>
      <x:c r="G25" s="23">
        <x:f t="shared" si="3"/>
        <x:v>843.39997249883425</x:v>
      </x:c>
      <x:c r="H25" s="23">
        <x:f t="shared" si="3"/>
        <x:v>878.02707266384107</x:v>
      </x:c>
      <x:c r="I25" s="23">
        <x:f t="shared" si="3"/>
        <x:v>912.44641022785822</x:v>
      </x:c>
      <x:c r="J25" s="23">
        <x:f t="shared" si="3"/>
        <x:v>946.65923176649096</x:v>
      </x:c>
      <x:c r="K25" s="23">
        <x:f t="shared" si="3"/>
        <x:v>980.66677637589203</x:v>
      </x:c>
      <x:c r="L25" s="23">
        <x:f t="shared" si="3"/>
        <x:v>1014.4702757176366</x:v>
      </x:c>
      <x:c r="M25" s="23">
        <x:f t="shared" si="3"/>
        <x:v>1048.0709540633309</x:v>
      </x:c>
      <x:c r="N25" s="23">
        <x:f t="shared" si="3"/>
        <x:v>1081.4700283389509</x:v>
      </x:c>
    </x:row>
    <x:row r="26" ht="13.5" customHeight="1">
      <x:c r="B26" s="19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 ht="13.5" customHeight="1">
      <x:c r="B27" s="66" t="s">
        <x:v>313</x:v>
      </x:c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8"/>
    </x:row>
    <x:row r="28" ht="13.5" customHeight="1">
      <x:c r="B28" s="19" t="s">
        <x:v>314</x:v>
      </x:c>
      <x:c r="C28" s="21" t="n">
        <x:f>Assumptions!$F$36</x:f>
        <x:v>120</x:v>
      </x:c>
      <x:c r="D28" s="21" t="n">
        <x:f>Assumptions!$F$36</x:f>
        <x:v>120</x:v>
      </x:c>
      <x:c r="E28" s="21" t="n">
        <x:f>Assumptions!$F$36</x:f>
        <x:v>120</x:v>
      </x:c>
      <x:c r="F28" s="21" t="n">
        <x:f>Assumptions!$F$36</x:f>
        <x:v>120</x:v>
      </x:c>
      <x:c r="G28" s="21" t="n">
        <x:f>Assumptions!$F$36</x:f>
        <x:v>120</x:v>
      </x:c>
      <x:c r="H28" s="21" t="n">
        <x:f>Assumptions!$F$36</x:f>
        <x:v>120</x:v>
      </x:c>
      <x:c r="I28" s="21" t="n">
        <x:f>Assumptions!$F$36</x:f>
        <x:v>120</x:v>
      </x:c>
      <x:c r="J28" s="21" t="n">
        <x:f>Assumptions!$F$36</x:f>
        <x:v>120</x:v>
      </x:c>
      <x:c r="K28" s="21" t="n">
        <x:f>Assumptions!$F$36</x:f>
        <x:v>120</x:v>
      </x:c>
      <x:c r="L28" s="21" t="n">
        <x:f>Assumptions!$F$36</x:f>
        <x:v>120</x:v>
      </x:c>
      <x:c r="M28" s="21" t="n">
        <x:f>Assumptions!$F$36</x:f>
        <x:v>120</x:v>
      </x:c>
      <x:c r="N28" s="21" t="n">
        <x:f>Assumptions!$F$36</x:f>
        <x:v>120</x:v>
      </x:c>
    </x:row>
    <x:row r="29" ht="13.5" customHeight="1">
      <x:c r="B29" s="19" t="s">
        <x:v>315</x:v>
      </x:c>
      <x:c r="C29" s="21" t="n">
        <x:f>Assumptions!$F$37</x:f>
        <x:v>160</x:v>
      </x:c>
      <x:c r="D29" s="21" t="n">
        <x:f>Assumptions!$F$37</x:f>
        <x:v>160</x:v>
      </x:c>
      <x:c r="E29" s="21" t="n">
        <x:f>Assumptions!$F$37</x:f>
        <x:v>160</x:v>
      </x:c>
      <x:c r="F29" s="21" t="n">
        <x:f>Assumptions!$F$37</x:f>
        <x:v>160</x:v>
      </x:c>
      <x:c r="G29" s="21" t="n">
        <x:f>Assumptions!$F$37</x:f>
        <x:v>160</x:v>
      </x:c>
      <x:c r="H29" s="21" t="n">
        <x:f>Assumptions!$F$37</x:f>
        <x:v>160</x:v>
      </x:c>
      <x:c r="I29" s="21" t="n">
        <x:f>Assumptions!$F$37</x:f>
        <x:v>160</x:v>
      </x:c>
      <x:c r="J29" s="21" t="n">
        <x:f>Assumptions!$F$37</x:f>
        <x:v>160</x:v>
      </x:c>
      <x:c r="K29" s="21" t="n">
        <x:f>Assumptions!$F$37</x:f>
        <x:v>160</x:v>
      </x:c>
      <x:c r="L29" s="21" t="n">
        <x:f>Assumptions!$F$37</x:f>
        <x:v>160</x:v>
      </x:c>
      <x:c r="M29" s="21" t="n">
        <x:f>Assumptions!$F$37</x:f>
        <x:v>160</x:v>
      </x:c>
      <x:c r="N29" s="21" t="n">
        <x:f>Assumptions!$F$37</x:f>
        <x:v>160</x:v>
      </x:c>
    </x:row>
    <x:row r="30" ht="13.5" customHeight="1">
      <x:c r="B30" s="19" t="s">
        <x:v>316</x:v>
      </x:c>
      <x:c r="C30" s="21" t="n">
        <x:f>Assumptions!$F$38</x:f>
        <x:v>90</x:v>
      </x:c>
      <x:c r="D30" s="21" t="n">
        <x:f>Assumptions!$F$38</x:f>
        <x:v>90</x:v>
      </x:c>
      <x:c r="E30" s="21" t="n">
        <x:f>Assumptions!$F$38</x:f>
        <x:v>90</x:v>
      </x:c>
      <x:c r="F30" s="21" t="n">
        <x:f>Assumptions!$F$38</x:f>
        <x:v>90</x:v>
      </x:c>
      <x:c r="G30" s="21" t="n">
        <x:f>Assumptions!$F$38</x:f>
        <x:v>90</x:v>
      </x:c>
      <x:c r="H30" s="21" t="n">
        <x:f>Assumptions!$F$38</x:f>
        <x:v>90</x:v>
      </x:c>
      <x:c r="I30" s="21" t="n">
        <x:f>Assumptions!$F$38</x:f>
        <x:v>90</x:v>
      </x:c>
      <x:c r="J30" s="21" t="n">
        <x:f>Assumptions!$F$38</x:f>
        <x:v>90</x:v>
      </x:c>
      <x:c r="K30" s="21" t="n">
        <x:f>Assumptions!$F$38</x:f>
        <x:v>90</x:v>
      </x:c>
      <x:c r="L30" s="21" t="n">
        <x:f>Assumptions!$F$38</x:f>
        <x:v>90</x:v>
      </x:c>
      <x:c r="M30" s="21" t="n">
        <x:f>Assumptions!$F$38</x:f>
        <x:v>90</x:v>
      </x:c>
      <x:c r="N30" s="21" t="n">
        <x:f>Assumptions!$F$38</x:f>
        <x:v>90</x:v>
      </x:c>
    </x:row>
    <x:row r="31" ht="13.5" customHeight="1">
      <x:c r="B31" s="19" t="s">
        <x:v>317</x:v>
      </x:c>
      <x:c r="C31" s="21" t="n">
        <x:f>Assumptions!$F$39</x:f>
        <x:v>70</x:v>
      </x:c>
      <x:c r="D31" s="21" t="n">
        <x:f>Assumptions!$F$39</x:f>
        <x:v>70</x:v>
      </x:c>
      <x:c r="E31" s="21" t="n">
        <x:f>Assumptions!$F$39</x:f>
        <x:v>70</x:v>
      </x:c>
      <x:c r="F31" s="21" t="n">
        <x:f>Assumptions!$F$39</x:f>
        <x:v>70</x:v>
      </x:c>
      <x:c r="G31" s="21" t="n">
        <x:f>Assumptions!$F$39</x:f>
        <x:v>70</x:v>
      </x:c>
      <x:c r="H31" s="21" t="n">
        <x:f>Assumptions!$F$39</x:f>
        <x:v>70</x:v>
      </x:c>
      <x:c r="I31" s="21" t="n">
        <x:f>Assumptions!$F$39</x:f>
        <x:v>70</x:v>
      </x:c>
      <x:c r="J31" s="21" t="n">
        <x:f>Assumptions!$F$39</x:f>
        <x:v>70</x:v>
      </x:c>
      <x:c r="K31" s="21" t="n">
        <x:f>Assumptions!$F$39</x:f>
        <x:v>70</x:v>
      </x:c>
      <x:c r="L31" s="21" t="n">
        <x:f>Assumptions!$F$39</x:f>
        <x:v>70</x:v>
      </x:c>
      <x:c r="M31" s="21" t="n">
        <x:f>Assumptions!$F$39</x:f>
        <x:v>70</x:v>
      </x:c>
      <x:c r="N31" s="21" t="n">
        <x:f>Assumptions!$F$39</x:f>
        <x:v>70</x:v>
      </x:c>
    </x:row>
    <x:row r="32" ht="13.5" customHeight="1">
      <x:c r="B32" s="22" t="s">
        <x:v>318</x:v>
      </x:c>
      <x:c r="C32" s="23" t="n">
        <x:f t="shared" ref="C32:N32" si="4">SUM(C28:C31)</x:f>
        <x:v>440</x:v>
      </x:c>
      <x:c r="D32" s="23">
        <x:f t="shared" si="4"/>
        <x:v>440</x:v>
      </x:c>
      <x:c r="E32" s="23">
        <x:f t="shared" si="4"/>
        <x:v>440</x:v>
      </x:c>
      <x:c r="F32" s="23">
        <x:f t="shared" si="4"/>
        <x:v>440</x:v>
      </x:c>
      <x:c r="G32" s="23">
        <x:f t="shared" si="4"/>
        <x:v>440</x:v>
      </x:c>
      <x:c r="H32" s="23">
        <x:f t="shared" si="4"/>
        <x:v>440</x:v>
      </x:c>
      <x:c r="I32" s="23">
        <x:f t="shared" si="4"/>
        <x:v>440</x:v>
      </x:c>
      <x:c r="J32" s="23">
        <x:f t="shared" si="4"/>
        <x:v>440</x:v>
      </x:c>
      <x:c r="K32" s="23">
        <x:f t="shared" si="4"/>
        <x:v>440</x:v>
      </x:c>
      <x:c r="L32" s="23">
        <x:f t="shared" si="4"/>
        <x:v>440</x:v>
      </x:c>
      <x:c r="M32" s="23">
        <x:f t="shared" si="4"/>
        <x:v>440</x:v>
      </x:c>
      <x:c r="N32" s="23">
        <x:f t="shared" si="4"/>
        <x:v>440</x:v>
      </x:c>
    </x:row>
    <x:row r="33" ht="13.5" customHeight="1">
      <x:c r="B33" s="19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 ht="13.5" customHeight="1">
      <x:c r="B34" s="66" t="s">
        <x:v>319</x:v>
      </x:c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8"/>
    </x:row>
    <x:row r="35" ht="13.5" customHeight="1">
      <x:c r="B35" s="22" t="s">
        <x:v>39</x:v>
      </x:c>
      <x:c r="C35" s="33" t="n">
        <x:f>Revenue!C$48-C15-C25-C32</x:f>
        <x:v>-635.5673976</x:v>
      </x:c>
      <x:c r="D35" s="33" t="n">
        <x:f>Revenue!D$48-D15-D25-D32</x:f>
        <x:v>-639.2041989564892</x:v>
      </x:c>
      <x:c r="E35" s="33" t="n">
        <x:f>Revenue!E$48-E15-E25-E32</x:f>
        <x:v>-640.4800744272559</x:v>
      </x:c>
      <x:c r="F35" s="33" t="n">
        <x:f>Revenue!F$48-F15-F25-F32</x:f>
        <x:v>-638.4828577284413</x:v>
      </x:c>
      <x:c r="G35" s="33" t="n">
        <x:f>Revenue!G$48-G15-G25-G32</x:f>
        <x:v>-632.7584931475357</x:v>
      </x:c>
      <x:c r="H35" s="33" t="n">
        <x:f>Revenue!H$48-H15-H25-H32</x:f>
        <x:v>-623.3279425193773</x:v>
      </x:c>
      <x:c r="I35" s="33" t="n">
        <x:f>Revenue!I$48-I15-I25-I32</x:f>
        <x:v>-610.212041382822</x:v>
      </x:c>
      <x:c r="J35" s="33" t="n">
        <x:f>Revenue!J$48-J15-J25-J32</x:f>
        <x:v>-593.4314997383199</x:v>
      </x:c>
      <x:c r="K35" s="33" t="n">
        <x:f>Revenue!K$48-K15-K25-K32</x:f>
        <x:v>-573.0069028009518</x:v>
      </x:c>
      <x:c r="L35" s="33" t="n">
        <x:f>Revenue!L$48-L15-L25-L32</x:f>
        <x:v>-548.9587117489433</x:v>
      </x:c>
      <x:c r="M35" s="33" t="n">
        <x:f>Revenue!M$48-M15-M25-M32</x:f>
        <x:v>-521.3072644676884</x:v>
      </x:c>
      <x:c r="N35" s="33" t="n">
        <x:f>Revenue!N$48-N15-N25-N32</x:f>
        <x:v>-490.07277628931</x:v>
      </x:c>
    </x:row>
    <x:row r="36" ht="13.5" customHeight="1">
      <x:c r="B36" s="19" t="s">
        <x:v>220</x:v>
      </x:c>
      <x:c r="C36" s="29" t="n">
        <x:f>IFERROR(C35/Revenue!C$48,0)</x:f>
        <x:v>-1.0127517944680202</x:v>
      </x:c>
      <x:c r="D36" s="29" t="n">
        <x:f>IFERROR(D35/Revenue!D$48,0)</x:f>
        <x:v>-0.9584997928598351</x:v>
      </x:c>
      <x:c r="E36" s="29" t="n">
        <x:f>IFERROR(E35/Revenue!E$48,0)</x:f>
        <x:v>-0.9032516304878386</x:v>
      </x:c>
      <x:c r="F36" s="29" t="n">
        <x:f>IFERROR(F35/Revenue!F$48,0)</x:f>
        <x:v>-0.8453546876340999</x:v>
      </x:c>
      <x:c r="G36" s="29" t="n">
        <x:f>IFERROR(G35/Revenue!G$48,0)</x:f>
        <x:v>-0.7852861901051187</x:v>
      </x:c>
      <x:c r="H36" s="29" t="n">
        <x:f>IFERROR(H35/Revenue!H$48,0)</x:f>
        <x:v>-0.7243697239317962</x:v>
      </x:c>
      <x:c r="I36" s="29" t="n">
        <x:f>IFERROR(I35/Revenue!I$48,0)</x:f>
        <x:v>-0.6636430108717858</x:v>
      </x:c>
      <x:c r="J36" s="29" t="n">
        <x:f>IFERROR(J35/Revenue!J$48,0)</x:f>
        <x:v>-0.6038926166915083</x:v>
      </x:c>
      <x:c r="K36" s="29" t="n">
        <x:f>IFERROR(K35/Revenue!K$48,0)</x:f>
        <x:v>-0.5456929955859987</x:v>
      </x:c>
      <x:c r="L36" s="29" t="n">
        <x:f>IFERROR(L35/Revenue!L$48,0)</x:f>
        <x:v>-0.4894450137796651</x:v>
      </x:c>
      <x:c r="M36" s="29" t="n">
        <x:f>IFERROR(M35/Revenue!M$48,0)</x:f>
        <x:v>-0.4354111717494715</x:v>
      </x:c>
      <x:c r="N36" s="29" t="n">
        <x:f>IFERROR(N35/Revenue!N$48,0)</x:f>
        <x:v>-0.38374622307808925</x:v>
      </x:c>
    </x:row>
    <x:row r="37" ht="13.5" customHeight="1">
      <x:c r="B37" s="19" t="s">
        <x:v>219</x:v>
      </x:c>
      <x:c r="C37" s="31" t="n">
        <x:f t="shared" ref="C37:N37" si="5">C25+C32</x:f>
        <x:v>1142.78875</x:v>
      </x:c>
      <x:c r="D37" s="31">
        <x:f t="shared" si="5"/>
        <x:v>1178.2595175000001</x:v>
      </x:c>
      <x:c r="E37" s="31">
        <x:f t="shared" si="5"/>
        <x:v>1213.5174603949999</x:v>
      </x:c>
      <x:c r="F37" s="31">
        <x:f t="shared" si="5"/>
        <x:v>1248.5638556326301</x:v>
      </x:c>
      <x:c r="G37" s="31">
        <x:f t="shared" si="5"/>
        <x:v>1283.3999724988344</x:v>
      </x:c>
      <x:c r="H37" s="31">
        <x:f t="shared" si="5"/>
        <x:v>1318.027072663841</x:v>
      </x:c>
      <x:c r="I37" s="31">
        <x:f t="shared" si="5"/>
        <x:v>1352.4464102278582</x:v>
      </x:c>
      <x:c r="J37" s="31">
        <x:f t="shared" si="5"/>
        <x:v>1386.6592317664908</x:v>
      </x:c>
      <x:c r="K37" s="31">
        <x:f t="shared" si="5"/>
        <x:v>1420.6667763758919</x:v>
      </x:c>
      <x:c r="L37" s="31">
        <x:f t="shared" si="5"/>
        <x:v>1454.4702757176365</x:v>
      </x:c>
      <x:c r="M37" s="31">
        <x:f t="shared" si="5"/>
        <x:v>1488.0709540633309</x:v>
      </x:c>
      <x:c r="N37" s="31">
        <x:f t="shared" si="5"/>
        <x:v>1521.4700283389509</x:v>
      </x:c>
    </x:row>
    <x:row r="38" ht="13.5" customHeight="1">
      <x:c r="B38" s="19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 ht="13.5" customHeight="1">
      <x:c r="B39" s="19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 ht="13.5" customHeight="1">
      <x:c r="B40" s="19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  <x:row r="41" ht="13.5" customHeight="1">
      <x:c r="B41" s="19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</x:row>
    <x:row r="42" ht="13.5" customHeight="1">
      <x:c r="B42" s="19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</x:row>
    <x:row r="43" ht="13.5" customHeight="1">
      <x:c r="B43" s="19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</x:row>
    <x:row r="44" ht="13.5" customHeight="1">
      <x:c r="B44" s="19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</x:row>
    <x:row r="45" ht="13.5" customHeight="1"/>
    <x:row r="46" ht="13.5" customHeight="1"/>
    <x:row r="47" ht="13.5" customHeight="1"/>
    <x:row r="48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34:N34"/>
    <x:mergeCell ref="B2:N3"/>
    <x:mergeCell ref="B4:N4"/>
    <x:mergeCell ref="B8:N8"/>
    <x:mergeCell ref="B19:N19"/>
    <x:mergeCell ref="B27:N27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320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321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5" ht="13.5" customHeight="1"/>
    <x:row r="6" ht="13.5" customHeight="1">
      <x:c r="B6" s="50" t="s">
        <x:v>211</x:v>
      </x:c>
      <x:c r="C6" s="18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66" t="s">
        <x:v>322</x:v>
      </x:c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8"/>
    </x:row>
    <x:row r="9" ht="13.5" customHeight="1">
      <x:c r="B9" s="19" t="s">
        <x:v>323</x:v>
      </x:c>
      <x:c r="C9" s="20" t="n">
        <x:f>Assumptions!$F$10</x:f>
        <x:v>8</x:v>
      </x:c>
      <x:c r="D9" s="24" t="n">
        <x:f t="shared" ref="D9:N9" si="0">C12</x:f>
        <x:v>8.952</x:v>
      </x:c>
      <x:c r="E9" s="24">
        <x:f t="shared" si="0"/>
        <x:v>9.8982879999999991</x:v>
      </x:c>
      <x:c r="F9" s="24">
        <x:f t="shared" si="0"/>
        <x:v>10.838898272</x:v>
      </x:c>
      <x:c r="G9" s="24">
        <x:f t="shared" si="0"/>
        <x:v>11.773864882368001</x:v>
      </x:c>
      <x:c r="H9" s="24">
        <x:f t="shared" si="0"/>
        <x:v>12.703221693073793</x:v>
      </x:c>
      <x:c r="I9" s="24">
        <x:f t="shared" si="0"/>
        <x:v>13.62700236291535</x:v>
      </x:c>
      <x:c r="J9" s="24">
        <x:f t="shared" si="0"/>
        <x:v>14.545240348737858</x:v>
      </x:c>
      <x:c r="K9" s="24">
        <x:f t="shared" si="0"/>
        <x:v>15.45796890664543</x:v>
      </x:c>
      <x:c r="L9" s="24">
        <x:f t="shared" si="0"/>
        <x:v>16.365221093205559</x:v>
      </x:c>
      <x:c r="M9" s="24">
        <x:f t="shared" si="0"/>
        <x:v>17.267029766646324</x:v>
      </x:c>
      <x:c r="N9" s="24">
        <x:f t="shared" si="0"/>
        <x:v>18.163427588046446</x:v>
      </x:c>
    </x:row>
    <x:row r="10" ht="13.5" customHeight="1">
      <x:c r="B10" s="19" t="s">
        <x:v>324</x:v>
      </x:c>
      <x:c r="C10" s="20" t="n">
        <x:f>Assumptions!$F$11</x:f>
        <x:v>1</x:v>
      </x:c>
      <x:c r="D10" s="20" t="n">
        <x:f>Assumptions!$F$11</x:f>
        <x:v>1</x:v>
      </x:c>
      <x:c r="E10" s="20" t="n">
        <x:f>Assumptions!$F$11</x:f>
        <x:v>1</x:v>
      </x:c>
      <x:c r="F10" s="20" t="n">
        <x:f>Assumptions!$F$11</x:f>
        <x:v>1</x:v>
      </x:c>
      <x:c r="G10" s="20" t="n">
        <x:f>Assumptions!$F$11</x:f>
        <x:v>1</x:v>
      </x:c>
      <x:c r="H10" s="20" t="n">
        <x:f>Assumptions!$F$11</x:f>
        <x:v>1</x:v>
      </x:c>
      <x:c r="I10" s="20" t="n">
        <x:f>Assumptions!$F$11</x:f>
        <x:v>1</x:v>
      </x:c>
      <x:c r="J10" s="20" t="n">
        <x:f>Assumptions!$F$11</x:f>
        <x:v>1</x:v>
      </x:c>
      <x:c r="K10" s="20" t="n">
        <x:f>Assumptions!$F$11</x:f>
        <x:v>1</x:v>
      </x:c>
      <x:c r="L10" s="20" t="n">
        <x:f>Assumptions!$F$11</x:f>
        <x:v>1</x:v>
      </x:c>
      <x:c r="M10" s="20" t="n">
        <x:f>Assumptions!$F$11</x:f>
        <x:v>1</x:v>
      </x:c>
      <x:c r="N10" s="20" t="n">
        <x:f>Assumptions!$F$11</x:f>
        <x:v>1</x:v>
      </x:c>
    </x:row>
    <x:row r="11" ht="13.5" customHeight="1">
      <x:c r="B11" s="19" t="s">
        <x:v>325</x:v>
      </x:c>
      <x:c r="C11" s="20" t="n">
        <x:f>C9*Assumptions!$F$30</x:f>
        <x:v>0.048</x:v>
      </x:c>
      <x:c r="D11" s="20" t="n">
        <x:f>D9*Assumptions!$F$30</x:f>
        <x:v>0.053712</x:v>
      </x:c>
      <x:c r="E11" s="20" t="n">
        <x:f>E9*Assumptions!$F$30</x:f>
        <x:v>0.059389727999999996</x:v>
      </x:c>
      <x:c r="F11" s="20" t="n">
        <x:f>F9*Assumptions!$F$30</x:f>
        <x:v>0.065033389632</x:v>
      </x:c>
      <x:c r="G11" s="20" t="n">
        <x:f>G9*Assumptions!$F$30</x:f>
        <x:v>0.070643189294208</x:v>
      </x:c>
      <x:c r="H11" s="20" t="n">
        <x:f>H9*Assumptions!$F$30</x:f>
        <x:v>0.07621933015844276</x:v>
      </x:c>
      <x:c r="I11" s="20" t="n">
        <x:f>I9*Assumptions!$F$30</x:f>
        <x:v>0.0817620141774921</x:v>
      </x:c>
      <x:c r="J11" s="20" t="n">
        <x:f>J9*Assumptions!$F$30</x:f>
        <x:v>0.08727144209242715</x:v>
      </x:c>
      <x:c r="K11" s="20" t="n">
        <x:f>K9*Assumptions!$F$30</x:f>
        <x:v>0.09274781343987258</x:v>
      </x:c>
      <x:c r="L11" s="20" t="n">
        <x:f>L9*Assumptions!$F$30</x:f>
        <x:v>0.09819132655923335</x:v>
      </x:c>
      <x:c r="M11" s="20" t="n">
        <x:f>M9*Assumptions!$F$30</x:f>
        <x:v>0.10360217859987794</x:v>
      </x:c>
      <x:c r="N11" s="20" t="n">
        <x:f>N9*Assumptions!$F$30</x:f>
        <x:v>0.10898056552827867</x:v>
      </x:c>
    </x:row>
    <x:row r="12" ht="13.5" customHeight="1">
      <x:c r="B12" s="27" t="s">
        <x:v>326</x:v>
      </x:c>
      <x:c r="C12" s="28" t="n">
        <x:f t="shared" ref="C12:N12" si="1">C9+C10-C11</x:f>
        <x:v>8.952</x:v>
      </x:c>
      <x:c r="D12" s="28">
        <x:f t="shared" si="1"/>
        <x:v>9.8982879999999991</x:v>
      </x:c>
      <x:c r="E12" s="28">
        <x:f t="shared" si="1"/>
        <x:v>10.838898272</x:v>
      </x:c>
      <x:c r="F12" s="28">
        <x:f t="shared" si="1"/>
        <x:v>11.773864882368001</x:v>
      </x:c>
      <x:c r="G12" s="28">
        <x:f t="shared" si="1"/>
        <x:v>12.703221693073793</x:v>
      </x:c>
      <x:c r="H12" s="28">
        <x:f t="shared" si="1"/>
        <x:v>13.62700236291535</x:v>
      </x:c>
      <x:c r="I12" s="28">
        <x:f t="shared" si="1"/>
        <x:v>14.545240348737858</x:v>
      </x:c>
      <x:c r="J12" s="28">
        <x:f t="shared" si="1"/>
        <x:v>15.45796890664543</x:v>
      </x:c>
      <x:c r="K12" s="28">
        <x:f t="shared" si="1"/>
        <x:v>16.365221093205559</x:v>
      </x:c>
      <x:c r="L12" s="28">
        <x:f t="shared" si="1"/>
        <x:v>17.267029766646324</x:v>
      </x:c>
      <x:c r="M12" s="28">
        <x:f t="shared" si="1"/>
        <x:v>18.163427588046446</x:v>
      </x:c>
      <x:c r="N12" s="28">
        <x:f t="shared" si="1"/>
        <x:v>19.054447022518168</x:v>
      </x:c>
    </x:row>
    <x:row r="13" ht="13.5" customHeight="1">
      <x:c r="B13" s="19" t="s">
        <x:v>327</x:v>
      </x:c>
      <x:c r="C13" s="21" t="n">
        <x:f>Assumptions!$F$31</x:f>
        <x:v>140</x:v>
      </x:c>
      <x:c r="D13" s="21" t="n">
        <x:f>Assumptions!$F$31</x:f>
        <x:v>140</x:v>
      </x:c>
      <x:c r="E13" s="21" t="n">
        <x:f>Assumptions!$F$31</x:f>
        <x:v>140</x:v>
      </x:c>
      <x:c r="F13" s="21" t="n">
        <x:f>Assumptions!$F$31</x:f>
        <x:v>140</x:v>
      </x:c>
      <x:c r="G13" s="21" t="n">
        <x:f>Assumptions!$F$31</x:f>
        <x:v>140</x:v>
      </x:c>
      <x:c r="H13" s="21" t="n">
        <x:f>Assumptions!$F$31</x:f>
        <x:v>140</x:v>
      </x:c>
      <x:c r="I13" s="21" t="n">
        <x:f>Assumptions!$F$31</x:f>
        <x:v>140</x:v>
      </x:c>
      <x:c r="J13" s="21" t="n">
        <x:f>Assumptions!$F$31</x:f>
        <x:v>140</x:v>
      </x:c>
      <x:c r="K13" s="21" t="n">
        <x:f>Assumptions!$F$31</x:f>
        <x:v>140</x:v>
      </x:c>
      <x:c r="L13" s="21" t="n">
        <x:f>Assumptions!$F$31</x:f>
        <x:v>140</x:v>
      </x:c>
      <x:c r="M13" s="21" t="n">
        <x:f>Assumptions!$F$31</x:f>
        <x:v>140</x:v>
      </x:c>
      <x:c r="N13" s="21" t="n">
        <x:f>Assumptions!$F$31</x:f>
        <x:v>140</x:v>
      </x:c>
    </x:row>
    <x:row r="14" ht="13.5" customHeight="1">
      <x:c r="B14" s="22" t="s">
        <x:v>35</x:v>
      </x:c>
      <x:c r="C14" s="23" t="n">
        <x:f t="shared" ref="C14:N14" si="2">AVERAGE(C9,C12)*C13/12</x:f>
        <x:v>98.88666666666666</x:v>
      </x:c>
      <x:c r="D14" s="23">
        <x:f t="shared" si="2"/>
        <x:v>109.96001333333334</x:v>
      </x:c>
      <x:c r="E14" s="23">
        <x:f t="shared" si="2"/>
        <x:v>120.96691992</x:v>
      </x:c>
      <x:c r="F14" s="23">
        <x:f t="shared" si="2"/>
        <x:v>131.90778506714668</x:v>
      </x:c>
      <x:c r="G14" s="23">
        <x:f t="shared" si="2"/>
        <x:v>142.78300502341048</x:v>
      </x:c>
      <x:c r="H14" s="23">
        <x:f t="shared" si="2"/>
        <x:v>153.59297365993666</x:v>
      </x:c>
      <x:c r="I14" s="23">
        <x:f t="shared" si="2"/>
        <x:v>164.33808248464371</x:v>
      </x:c>
      <x:c r="J14" s="23">
        <x:f t="shared" si="2"/>
        <x:v>175.01872065640251</x:v>
      </x:c>
      <x:c r="K14" s="23">
        <x:f t="shared" si="2"/>
        <x:v>185.63527499913076</x:v>
      </x:c>
      <x:c r="L14" s="23">
        <x:f t="shared" si="2"/>
        <x:v>196.18813001580261</x:v>
      </x:c>
      <x:c r="M14" s="23">
        <x:f t="shared" si="2"/>
        <x:v>206.67766790237451</x:v>
      </x:c>
      <x:c r="N14" s="23">
        <x:f t="shared" si="2"/>
        <x:v>217.10426856162692</x:v>
      </x:c>
    </x:row>
    <x:row r="15" ht="13.5" customHeight="1">
      <x:c r="B15" s="19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 ht="13.5" customHeight="1">
      <x:c r="B16" s="66" t="s">
        <x:v>328</x:v>
      </x:c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8"/>
    </x:row>
    <x:row r="17" ht="13.5" customHeight="1">
      <x:c r="B17" s="19" t="s">
        <x:v>323</x:v>
      </x:c>
      <x:c r="C17" s="20" t="n">
        <x:f>Assumptions!$F$22</x:f>
        <x:v>18</x:v>
      </x:c>
      <x:c r="D17" s="24" t="n">
        <x:f t="shared" ref="D17:N17" si="3">C20</x:f>
        <x:v>18.892</x:v>
      </x:c>
      <x:c r="E17" s="24">
        <x:f t="shared" si="3"/>
        <x:v>19.778648</x:v>
      </x:c>
      <x:c r="F17" s="24">
        <x:f t="shared" si="3"/>
        <x:v>20.659976111999999</x:v>
      </x:c>
      <x:c r="G17" s="24">
        <x:f t="shared" si="3"/>
        <x:v>21.536016255328001</x:v>
      </x:c>
      <x:c r="H17" s="24">
        <x:f t="shared" si="3"/>
        <x:v>22.406800157796031</x:v>
      </x:c>
      <x:c r="I17" s="24">
        <x:f t="shared" si="3"/>
        <x:v>23.272359356849254</x:v>
      </x:c>
      <x:c r="J17" s="24">
        <x:f t="shared" si="3"/>
        <x:v>24.132725200708158</x:v>
      </x:c>
      <x:c r="K17" s="24">
        <x:f t="shared" si="3"/>
        <x:v>24.987928849503909</x:v>
      </x:c>
      <x:c r="L17" s="24">
        <x:f t="shared" si="3"/>
        <x:v>25.838001276406885</x:v>
      </x:c>
      <x:c r="M17" s="24">
        <x:f t="shared" si="3"/>
        <x:v>26.682973268748444</x:v>
      </x:c>
      <x:c r="N17" s="24">
        <x:f t="shared" si="3"/>
        <x:v>27.522875429135954</x:v>
      </x:c>
    </x:row>
    <x:row r="18" ht="13.5" customHeight="1">
      <x:c r="B18" s="19" t="s">
        <x:v>324</x:v>
      </x:c>
      <x:c r="C18" s="20" t="n">
        <x:f>Assumptions!$F$23</x:f>
        <x:v>1</x:v>
      </x:c>
      <x:c r="D18" s="20" t="n">
        <x:f>Assumptions!$F$23</x:f>
        <x:v>1</x:v>
      </x:c>
      <x:c r="E18" s="20" t="n">
        <x:f>Assumptions!$F$23</x:f>
        <x:v>1</x:v>
      </x:c>
      <x:c r="F18" s="20" t="n">
        <x:f>Assumptions!$F$23</x:f>
        <x:v>1</x:v>
      </x:c>
      <x:c r="G18" s="20" t="n">
        <x:f>Assumptions!$F$23</x:f>
        <x:v>1</x:v>
      </x:c>
      <x:c r="H18" s="20" t="n">
        <x:f>Assumptions!$F$23</x:f>
        <x:v>1</x:v>
      </x:c>
      <x:c r="I18" s="20" t="n">
        <x:f>Assumptions!$F$23</x:f>
        <x:v>1</x:v>
      </x:c>
      <x:c r="J18" s="20" t="n">
        <x:f>Assumptions!$F$23</x:f>
        <x:v>1</x:v>
      </x:c>
      <x:c r="K18" s="20" t="n">
        <x:f>Assumptions!$F$23</x:f>
        <x:v>1</x:v>
      </x:c>
      <x:c r="L18" s="20" t="n">
        <x:f>Assumptions!$F$23</x:f>
        <x:v>1</x:v>
      </x:c>
      <x:c r="M18" s="20" t="n">
        <x:f>Assumptions!$F$23</x:f>
        <x:v>1</x:v>
      </x:c>
      <x:c r="N18" s="20" t="n">
        <x:f>Assumptions!$F$23</x:f>
        <x:v>1</x:v>
      </x:c>
    </x:row>
    <x:row r="19" ht="13.5" customHeight="1">
      <x:c r="B19" s="19" t="s">
        <x:v>325</x:v>
      </x:c>
      <x:c r="C19" s="20" t="n">
        <x:f>C17*Assumptions!$F$30</x:f>
        <x:v>0.108</x:v>
      </x:c>
      <x:c r="D19" s="20" t="n">
        <x:f>D17*Assumptions!$F$30</x:f>
        <x:v>0.113352</x:v>
      </x:c>
      <x:c r="E19" s="20" t="n">
        <x:f>E17*Assumptions!$F$30</x:f>
        <x:v>0.118671888</x:v>
      </x:c>
      <x:c r="F19" s="20" t="n">
        <x:f>F17*Assumptions!$F$30</x:f>
        <x:v>0.12395985667199999</x:v>
      </x:c>
      <x:c r="G19" s="20" t="n">
        <x:f>G17*Assumptions!$F$30</x:f>
        <x:v>0.129216097531968</x:v>
      </x:c>
      <x:c r="H19" s="20" t="n">
        <x:f>H17*Assumptions!$F$30</x:f>
        <x:v>0.13444080094677618</x:v>
      </x:c>
      <x:c r="I19" s="20" t="n">
        <x:f>I17*Assumptions!$F$30</x:f>
        <x:v>0.13963415614109553</x:v>
      </x:c>
      <x:c r="J19" s="20" t="n">
        <x:f>J17*Assumptions!$F$30</x:f>
        <x:v>0.14479635120424894</x:v>
      </x:c>
      <x:c r="K19" s="20" t="n">
        <x:f>K17*Assumptions!$F$30</x:f>
        <x:v>0.14992757309702345</x:v>
      </x:c>
      <x:c r="L19" s="20" t="n">
        <x:f>L17*Assumptions!$F$30</x:f>
        <x:v>0.15502800765844132</x:v>
      </x:c>
      <x:c r="M19" s="20" t="n">
        <x:f>M17*Assumptions!$F$30</x:f>
        <x:v>0.16009783961249066</x:v>
      </x:c>
      <x:c r="N19" s="20" t="n">
        <x:f>N17*Assumptions!$F$30</x:f>
        <x:v>0.16513725257481573</x:v>
      </x:c>
    </x:row>
    <x:row r="20" ht="13.5" customHeight="1">
      <x:c r="B20" s="27" t="s">
        <x:v>326</x:v>
      </x:c>
      <x:c r="C20" s="28" t="n">
        <x:f t="shared" ref="C20:N20" si="4">C17+C18-C19</x:f>
        <x:v>18.892</x:v>
      </x:c>
      <x:c r="D20" s="28">
        <x:f t="shared" si="4"/>
        <x:v>19.778648</x:v>
      </x:c>
      <x:c r="E20" s="28">
        <x:f t="shared" si="4"/>
        <x:v>20.659976111999999</x:v>
      </x:c>
      <x:c r="F20" s="28">
        <x:f t="shared" si="4"/>
        <x:v>21.536016255328001</x:v>
      </x:c>
      <x:c r="G20" s="28">
        <x:f t="shared" si="4"/>
        <x:v>22.406800157796031</x:v>
      </x:c>
      <x:c r="H20" s="28">
        <x:f t="shared" si="4"/>
        <x:v>23.272359356849254</x:v>
      </x:c>
      <x:c r="I20" s="28">
        <x:f t="shared" si="4"/>
        <x:v>24.132725200708158</x:v>
      </x:c>
      <x:c r="J20" s="28">
        <x:f t="shared" si="4"/>
        <x:v>24.987928849503909</x:v>
      </x:c>
      <x:c r="K20" s="28">
        <x:f t="shared" si="4"/>
        <x:v>25.838001276406885</x:v>
      </x:c>
      <x:c r="L20" s="28">
        <x:f t="shared" si="4"/>
        <x:v>26.682973268748444</x:v>
      </x:c>
      <x:c r="M20" s="28">
        <x:f t="shared" si="4"/>
        <x:v>27.522875429135954</x:v>
      </x:c>
      <x:c r="N20" s="28">
        <x:f t="shared" si="4"/>
        <x:v>28.357738176561138</x:v>
      </x:c>
    </x:row>
    <x:row r="21" ht="13.5" customHeight="1">
      <x:c r="B21" s="19" t="s">
        <x:v>327</x:v>
      </x:c>
      <x:c r="C21" s="21" t="n">
        <x:f>Assumptions!$F$32</x:f>
        <x:v>165</x:v>
      </x:c>
      <x:c r="D21" s="21" t="n">
        <x:f>Assumptions!$F$32</x:f>
        <x:v>165</x:v>
      </x:c>
      <x:c r="E21" s="21" t="n">
        <x:f>Assumptions!$F$32</x:f>
        <x:v>165</x:v>
      </x:c>
      <x:c r="F21" s="21" t="n">
        <x:f>Assumptions!$F$32</x:f>
        <x:v>165</x:v>
      </x:c>
      <x:c r="G21" s="21" t="n">
        <x:f>Assumptions!$F$32</x:f>
        <x:v>165</x:v>
      </x:c>
      <x:c r="H21" s="21" t="n">
        <x:f>Assumptions!$F$32</x:f>
        <x:v>165</x:v>
      </x:c>
      <x:c r="I21" s="21" t="n">
        <x:f>Assumptions!$F$32</x:f>
        <x:v>165</x:v>
      </x:c>
      <x:c r="J21" s="21" t="n">
        <x:f>Assumptions!$F$32</x:f>
        <x:v>165</x:v>
      </x:c>
      <x:c r="K21" s="21" t="n">
        <x:f>Assumptions!$F$32</x:f>
        <x:v>165</x:v>
      </x:c>
      <x:c r="L21" s="21" t="n">
        <x:f>Assumptions!$F$32</x:f>
        <x:v>165</x:v>
      </x:c>
      <x:c r="M21" s="21" t="n">
        <x:f>Assumptions!$F$32</x:f>
        <x:v>165</x:v>
      </x:c>
      <x:c r="N21" s="21" t="n">
        <x:f>Assumptions!$F$32</x:f>
        <x:v>165</x:v>
      </x:c>
    </x:row>
    <x:row r="22" ht="13.5" customHeight="1">
      <x:c r="B22" s="22" t="s">
        <x:v>35</x:v>
      </x:c>
      <x:c r="C22" s="23" t="n">
        <x:f t="shared" ref="C22:N22" si="5">AVERAGE(C17,C20)*C21/12</x:f>
        <x:v>253.63249999999996</x:v>
      </x:c>
      <x:c r="D22" s="23">
        <x:f t="shared" si="5"/>
        <x:v>265.860705</x:v>
      </x:c>
      <x:c r="E22" s="23">
        <x:f t="shared" si="5"/>
        <x:v>278.01554076999997</x:v>
      </x:c>
      <x:c r="F22" s="23">
        <x:f t="shared" si="5"/>
        <x:v>290.09744752538001</x:v>
      </x:c>
      <x:c r="G22" s="23">
        <x:f t="shared" si="5"/>
        <x:v>302.10686284022773</x:v>
      </x:c>
      <x:c r="H22" s="23">
        <x:f t="shared" si="5"/>
        <x:v>314.04422166318631</x:v>
      </x:c>
      <x:c r="I22" s="23">
        <x:f t="shared" si="5"/>
        <x:v>325.90995633320722</x:v>
      </x:c>
      <x:c r="J22" s="23">
        <x:f t="shared" si="5"/>
        <x:v>337.70449659520796</x:v>
      </x:c>
      <x:c r="K22" s="23">
        <x:f t="shared" si="5"/>
        <x:v>349.42826961563674</x:v>
      </x:c>
      <x:c r="L22" s="23">
        <x:f t="shared" si="5"/>
        <x:v>361.08169999794285</x:v>
      </x:c>
      <x:c r="M22" s="23">
        <x:f t="shared" si="5"/>
        <x:v>372.66520979795524</x:v>
      </x:c>
      <x:c r="N22" s="23">
        <x:f t="shared" si="5"/>
        <x:v>384.17921853916755</x:v>
      </x:c>
    </x:row>
    <x:row r="23" ht="13.5" customHeight="1">
      <x:c r="B23" s="19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 ht="13.5" customHeight="1">
      <x:c r="B24" s="66" t="s">
        <x:v>329</x:v>
      </x:c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8"/>
    </x:row>
    <x:row r="25" ht="13.5" customHeight="1">
      <x:c r="B25" s="19" t="s">
        <x:v>323</x:v>
      </x:c>
      <x:c r="C25" s="20" t="n">
        <x:f>Assumptions!$F$24</x:f>
        <x:v>10</x:v>
      </x:c>
      <x:c r="D25" s="24" t="n">
        <x:f t="shared" ref="D25:N25" si="6">C28</x:f>
        <x:v>10.44</x:v>
      </x:c>
      <x:c r="E25" s="24">
        <x:f t="shared" si="6"/>
        <x:v>10.877359999999999</x:v>
      </x:c>
      <x:c r="F25" s="24">
        <x:f t="shared" si="6"/>
        <x:v>11.31209584</x:v>
      </x:c>
      <x:c r="G25" s="24">
        <x:f t="shared" si="6"/>
        <x:v>11.744223264959999</x:v>
      </x:c>
      <x:c r="H25" s="24">
        <x:f t="shared" si="6"/>
        <x:v>12.173757925370239</x:v>
      </x:c>
      <x:c r="I25" s="24">
        <x:f t="shared" si="6"/>
        <x:v>12.600715377818018</x:v>
      </x:c>
      <x:c r="J25" s="24">
        <x:f t="shared" si="6"/>
        <x:v>13.02511108555111</x:v>
      </x:c>
      <x:c r="K25" s="24">
        <x:f t="shared" si="6"/>
        <x:v>13.446960419037804</x:v>
      </x:c>
      <x:c r="L25" s="24">
        <x:f t="shared" si="6"/>
        <x:v>13.866278656523578</x:v>
      </x:c>
      <x:c r="M25" s="24">
        <x:f t="shared" si="6"/>
        <x:v>14.283080984584437</x:v>
      </x:c>
      <x:c r="N25" s="24">
        <x:f t="shared" si="6"/>
        <x:v>14.69738249867693</x:v>
      </x:c>
    </x:row>
    <x:row r="26" ht="13.5" customHeight="1">
      <x:c r="B26" s="19" t="s">
        <x:v>324</x:v>
      </x:c>
      <x:c r="C26" s="20" t="n">
        <x:f>Assumptions!$F$25</x:f>
        <x:v>0.5</x:v>
      </x:c>
      <x:c r="D26" s="20" t="n">
        <x:f>Assumptions!$F$25</x:f>
        <x:v>0.5</x:v>
      </x:c>
      <x:c r="E26" s="20" t="n">
        <x:f>Assumptions!$F$25</x:f>
        <x:v>0.5</x:v>
      </x:c>
      <x:c r="F26" s="20" t="n">
        <x:f>Assumptions!$F$25</x:f>
        <x:v>0.5</x:v>
      </x:c>
      <x:c r="G26" s="20" t="n">
        <x:f>Assumptions!$F$25</x:f>
        <x:v>0.5</x:v>
      </x:c>
      <x:c r="H26" s="20" t="n">
        <x:f>Assumptions!$F$25</x:f>
        <x:v>0.5</x:v>
      </x:c>
      <x:c r="I26" s="20" t="n">
        <x:f>Assumptions!$F$25</x:f>
        <x:v>0.5</x:v>
      </x:c>
      <x:c r="J26" s="20" t="n">
        <x:f>Assumptions!$F$25</x:f>
        <x:v>0.5</x:v>
      </x:c>
      <x:c r="K26" s="20" t="n">
        <x:f>Assumptions!$F$25</x:f>
        <x:v>0.5</x:v>
      </x:c>
      <x:c r="L26" s="20" t="n">
        <x:f>Assumptions!$F$25</x:f>
        <x:v>0.5</x:v>
      </x:c>
      <x:c r="M26" s="20" t="n">
        <x:f>Assumptions!$F$25</x:f>
        <x:v>0.5</x:v>
      </x:c>
      <x:c r="N26" s="20" t="n">
        <x:f>Assumptions!$F$25</x:f>
        <x:v>0.5</x:v>
      </x:c>
    </x:row>
    <x:row r="27" ht="13.5" customHeight="1">
      <x:c r="B27" s="19" t="s">
        <x:v>325</x:v>
      </x:c>
      <x:c r="C27" s="20" t="n">
        <x:f>C25*Assumptions!$F$30</x:f>
        <x:v>0.06</x:v>
      </x:c>
      <x:c r="D27" s="20" t="n">
        <x:f>D25*Assumptions!$F$30</x:f>
        <x:v>0.06264</x:v>
      </x:c>
      <x:c r="E27" s="20" t="n">
        <x:f>E25*Assumptions!$F$30</x:f>
        <x:v>0.06526416</x:v>
      </x:c>
      <x:c r="F27" s="20" t="n">
        <x:f>F25*Assumptions!$F$30</x:f>
        <x:v>0.06787257504</x:v>
      </x:c>
      <x:c r="G27" s="20" t="n">
        <x:f>G25*Assumptions!$F$30</x:f>
        <x:v>0.07046533958975999</x:v>
      </x:c>
      <x:c r="H27" s="20" t="n">
        <x:f>H25*Assumptions!$F$30</x:f>
        <x:v>0.07304254755222143</x:v>
      </x:c>
      <x:c r="I27" s="20" t="n">
        <x:f>I25*Assumptions!$F$30</x:f>
        <x:v>0.07560429226690811</x:v>
      </x:c>
      <x:c r="J27" s="20" t="n">
        <x:f>J25*Assumptions!$F$30</x:f>
        <x:v>0.07815066651330667</x:v>
      </x:c>
      <x:c r="K27" s="20" t="n">
        <x:f>K25*Assumptions!$F$30</x:f>
        <x:v>0.08068176251422683</x:v>
      </x:c>
      <x:c r="L27" s="20" t="n">
        <x:f>L25*Assumptions!$F$30</x:f>
        <x:v>0.08319767193914147</x:v>
      </x:c>
      <x:c r="M27" s="20" t="n">
        <x:f>M25*Assumptions!$F$30</x:f>
        <x:v>0.08569848590750663</x:v>
      </x:c>
      <x:c r="N27" s="20" t="n">
        <x:f>N25*Assumptions!$F$30</x:f>
        <x:v>0.08818429499206158</x:v>
      </x:c>
    </x:row>
    <x:row r="28" ht="13.5" customHeight="1">
      <x:c r="B28" s="27" t="s">
        <x:v>326</x:v>
      </x:c>
      <x:c r="C28" s="28" t="n">
        <x:f t="shared" ref="C28:N28" si="7">C25+C26-C27</x:f>
        <x:v>10.44</x:v>
      </x:c>
      <x:c r="D28" s="28">
        <x:f t="shared" si="7"/>
        <x:v>10.877359999999999</x:v>
      </x:c>
      <x:c r="E28" s="28">
        <x:f t="shared" si="7"/>
        <x:v>11.31209584</x:v>
      </x:c>
      <x:c r="F28" s="28">
        <x:f t="shared" si="7"/>
        <x:v>11.744223264959999</x:v>
      </x:c>
      <x:c r="G28" s="28">
        <x:f t="shared" si="7"/>
        <x:v>12.173757925370239</x:v>
      </x:c>
      <x:c r="H28" s="28">
        <x:f t="shared" si="7"/>
        <x:v>12.600715377818018</x:v>
      </x:c>
      <x:c r="I28" s="28">
        <x:f t="shared" si="7"/>
        <x:v>13.02511108555111</x:v>
      </x:c>
      <x:c r="J28" s="28">
        <x:f t="shared" si="7"/>
        <x:v>13.446960419037804</x:v>
      </x:c>
      <x:c r="K28" s="28">
        <x:f t="shared" si="7"/>
        <x:v>13.866278656523578</x:v>
      </x:c>
      <x:c r="L28" s="28">
        <x:f t="shared" si="7"/>
        <x:v>14.283080984584437</x:v>
      </x:c>
      <x:c r="M28" s="28">
        <x:f t="shared" si="7"/>
        <x:v>14.69738249867693</x:v>
      </x:c>
      <x:c r="N28" s="28">
        <x:f t="shared" si="7"/>
        <x:v>15.109198203684869</x:v>
      </x:c>
    </x:row>
    <x:row r="29" ht="13.5" customHeight="1">
      <x:c r="B29" s="19" t="s">
        <x:v>327</x:v>
      </x:c>
      <x:c r="C29" s="21" t="n">
        <x:f>Assumptions!$F$33</x:f>
        <x:v>145</x:v>
      </x:c>
      <x:c r="D29" s="21" t="n">
        <x:f>Assumptions!$F$33</x:f>
        <x:v>145</x:v>
      </x:c>
      <x:c r="E29" s="21" t="n">
        <x:f>Assumptions!$F$33</x:f>
        <x:v>145</x:v>
      </x:c>
      <x:c r="F29" s="21" t="n">
        <x:f>Assumptions!$F$33</x:f>
        <x:v>145</x:v>
      </x:c>
      <x:c r="G29" s="21" t="n">
        <x:f>Assumptions!$F$33</x:f>
        <x:v>145</x:v>
      </x:c>
      <x:c r="H29" s="21" t="n">
        <x:f>Assumptions!$F$33</x:f>
        <x:v>145</x:v>
      </x:c>
      <x:c r="I29" s="21" t="n">
        <x:f>Assumptions!$F$33</x:f>
        <x:v>145</x:v>
      </x:c>
      <x:c r="J29" s="21" t="n">
        <x:f>Assumptions!$F$33</x:f>
        <x:v>145</x:v>
      </x:c>
      <x:c r="K29" s="21" t="n">
        <x:f>Assumptions!$F$33</x:f>
        <x:v>145</x:v>
      </x:c>
      <x:c r="L29" s="21" t="n">
        <x:f>Assumptions!$F$33</x:f>
        <x:v>145</x:v>
      </x:c>
      <x:c r="M29" s="21" t="n">
        <x:f>Assumptions!$F$33</x:f>
        <x:v>145</x:v>
      </x:c>
      <x:c r="N29" s="21" t="n">
        <x:f>Assumptions!$F$33</x:f>
        <x:v>145</x:v>
      </x:c>
    </x:row>
    <x:row r="30" ht="13.5" customHeight="1">
      <x:c r="B30" s="22" t="s">
        <x:v>35</x:v>
      </x:c>
      <x:c r="C30" s="23" t="n">
        <x:f t="shared" ref="C30:N30" si="8">AVERAGE(C25,C28)*C29/12</x:f>
        <x:v>123.49166666666666</x:v>
      </x:c>
      <x:c r="D30" s="23">
        <x:f t="shared" si="8"/>
        <x:v>128.79238333333333</x:v>
      </x:c>
      <x:c r="E30" s="23">
        <x:f t="shared" si="8"/>
        <x:v>134.06129569999999</x:v>
      </x:c>
      <x:c r="F30" s="23">
        <x:f t="shared" si="8"/>
        <x:v>139.29859459246663</x:v>
      </x:c>
      <x:c r="G30" s="23">
        <x:f t="shared" si="8"/>
        <x:v>144.50446969157852</x:v>
      </x:c>
      <x:c r="H30" s="23">
        <x:f t="shared" si="8"/>
        <x:v>149.67910954009574</x:v>
      </x:c>
      <x:c r="I30" s="23">
        <x:f t="shared" si="8"/>
        <x:v>154.82270154952184</x:v>
      </x:c>
      <x:c r="J30" s="23">
        <x:f t="shared" si="8"/>
        <x:v>159.93543200689138</x:v>
      </x:c>
      <x:c r="K30" s="23">
        <x:f t="shared" si="8"/>
        <x:v>165.01748608151669</x:v>
      </x:c>
      <x:c r="L30" s="23">
        <x:f t="shared" si="8"/>
        <x:v>170.06904783169423</x:v>
      </x:c>
      <x:c r="M30" s="23">
        <x:f t="shared" si="8"/>
        <x:v>175.09030021137076</x:v>
      </x:c>
      <x:c r="N30" s="23">
        <x:f t="shared" si="8"/>
        <x:v>180.08142507676919</x:v>
      </x:c>
    </x:row>
    <x:row r="31" ht="13.5" customHeight="1">
      <x:c r="B31" s="19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 ht="13.5" customHeight="1">
      <x:c r="B32" s="66" t="s">
        <x:v>330</x:v>
      </x:c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8"/>
    </x:row>
    <x:row r="33" ht="13.5" customHeight="1">
      <x:c r="B33" s="19" t="s">
        <x:v>323</x:v>
      </x:c>
      <x:c r="C33" s="20" t="n">
        <x:f>Assumptions!$F$26</x:f>
        <x:v>8</x:v>
      </x:c>
      <x:c r="D33" s="24" t="n">
        <x:f t="shared" ref="D33:N33" si="9">C36</x:f>
        <x:v>8.202</x:v>
      </x:c>
      <x:c r="E33" s="24">
        <x:f t="shared" si="9"/>
        <x:v>8.4027879999999993</x:v>
      </x:c>
      <x:c r="F33" s="24">
        <x:f t="shared" si="9"/>
        <x:v>8.6023712719999992</x:v>
      </x:c>
      <x:c r="G33" s="24">
        <x:f t="shared" si="9"/>
        <x:v>8.8007570443679999</x:v>
      </x:c>
      <x:c r="H33" s="24">
        <x:f t="shared" si="9"/>
        <x:v>8.9979525021017928</x:v>
      </x:c>
      <x:c r="I33" s="24">
        <x:f t="shared" si="9"/>
        <x:v>9.1939647870891825</x:v>
      </x:c>
      <x:c r="J33" s="24">
        <x:f t="shared" si="9"/>
        <x:v>9.3888009983666478</x:v>
      </x:c>
      <x:c r="K33" s="24">
        <x:f t="shared" si="9"/>
        <x:v>9.5824681923764476</x:v>
      </x:c>
      <x:c r="L33" s="24">
        <x:f t="shared" si="9"/>
        <x:v>9.7749733832221892</x:v>
      </x:c>
      <x:c r="M33" s="24">
        <x:f t="shared" si="9"/>
        <x:v>9.966323542922856</x:v>
      </x:c>
      <x:c r="N33" s="24">
        <x:f t="shared" si="9"/>
        <x:v>10.156525601665319</x:v>
      </x:c>
    </x:row>
    <x:row r="34" ht="13.5" customHeight="1">
      <x:c r="B34" s="19" t="s">
        <x:v>324</x:v>
      </x:c>
      <x:c r="C34" s="20" t="n">
        <x:f>Assumptions!$F$27</x:f>
        <x:v>0.25</x:v>
      </x:c>
      <x:c r="D34" s="20" t="n">
        <x:f>Assumptions!$F$27</x:f>
        <x:v>0.25</x:v>
      </x:c>
      <x:c r="E34" s="20" t="n">
        <x:f>Assumptions!$F$27</x:f>
        <x:v>0.25</x:v>
      </x:c>
      <x:c r="F34" s="20" t="n">
        <x:f>Assumptions!$F$27</x:f>
        <x:v>0.25</x:v>
      </x:c>
      <x:c r="G34" s="20" t="n">
        <x:f>Assumptions!$F$27</x:f>
        <x:v>0.25</x:v>
      </x:c>
      <x:c r="H34" s="20" t="n">
        <x:f>Assumptions!$F$27</x:f>
        <x:v>0.25</x:v>
      </x:c>
      <x:c r="I34" s="20" t="n">
        <x:f>Assumptions!$F$27</x:f>
        <x:v>0.25</x:v>
      </x:c>
      <x:c r="J34" s="20" t="n">
        <x:f>Assumptions!$F$27</x:f>
        <x:v>0.25</x:v>
      </x:c>
      <x:c r="K34" s="20" t="n">
        <x:f>Assumptions!$F$27</x:f>
        <x:v>0.25</x:v>
      </x:c>
      <x:c r="L34" s="20" t="n">
        <x:f>Assumptions!$F$27</x:f>
        <x:v>0.25</x:v>
      </x:c>
      <x:c r="M34" s="20" t="n">
        <x:f>Assumptions!$F$27</x:f>
        <x:v>0.25</x:v>
      </x:c>
      <x:c r="N34" s="20" t="n">
        <x:f>Assumptions!$F$27</x:f>
        <x:v>0.25</x:v>
      </x:c>
    </x:row>
    <x:row r="35" ht="13.5" customHeight="1">
      <x:c r="B35" s="19" t="s">
        <x:v>325</x:v>
      </x:c>
      <x:c r="C35" s="20" t="n">
        <x:f>C33*Assumptions!$F$30</x:f>
        <x:v>0.048</x:v>
      </x:c>
      <x:c r="D35" s="20" t="n">
        <x:f>D33*Assumptions!$F$30</x:f>
        <x:v>0.049212</x:v>
      </x:c>
      <x:c r="E35" s="20" t="n">
        <x:f>E33*Assumptions!$F$30</x:f>
        <x:v>0.050416727999999994</x:v>
      </x:c>
      <x:c r="F35" s="20" t="n">
        <x:f>F33*Assumptions!$F$30</x:f>
        <x:v>0.051614227632</x:v>
      </x:c>
      <x:c r="G35" s="20" t="n">
        <x:f>G33*Assumptions!$F$30</x:f>
        <x:v>0.052804542266208</x:v>
      </x:c>
      <x:c r="H35" s="20" t="n">
        <x:f>H33*Assumptions!$F$30</x:f>
        <x:v>0.05398771501261076</x:v>
      </x:c>
      <x:c r="I35" s="20" t="n">
        <x:f>I33*Assumptions!$F$30</x:f>
        <x:v>0.0551637887225351</x:v>
      </x:c>
      <x:c r="J35" s="20" t="n">
        <x:f>J33*Assumptions!$F$30</x:f>
        <x:v>0.05633280599019989</x:v>
      </x:c>
      <x:c r="K35" s="20" t="n">
        <x:f>K33*Assumptions!$F$30</x:f>
        <x:v>0.05749480915425869</x:v>
      </x:c>
      <x:c r="L35" s="20" t="n">
        <x:f>L33*Assumptions!$F$30</x:f>
        <x:v>0.058649840299333136</x:v>
      </x:c>
      <x:c r="M35" s="20" t="n">
        <x:f>M33*Assumptions!$F$30</x:f>
        <x:v>0.05979794125753714</x:v>
      </x:c>
      <x:c r="N35" s="20" t="n">
        <x:f>N33*Assumptions!$F$30</x:f>
        <x:v>0.060939153609991914</x:v>
      </x:c>
    </x:row>
    <x:row r="36" ht="13.5" customHeight="1">
      <x:c r="B36" s="27" t="s">
        <x:v>326</x:v>
      </x:c>
      <x:c r="C36" s="28" t="n">
        <x:f t="shared" ref="C36:N36" si="10">C33+C34-C35</x:f>
        <x:v>8.202</x:v>
      </x:c>
      <x:c r="D36" s="28">
        <x:f t="shared" si="10"/>
        <x:v>8.4027879999999993</x:v>
      </x:c>
      <x:c r="E36" s="28">
        <x:f t="shared" si="10"/>
        <x:v>8.6023712719999992</x:v>
      </x:c>
      <x:c r="F36" s="28">
        <x:f t="shared" si="10"/>
        <x:v>8.8007570443679999</x:v>
      </x:c>
      <x:c r="G36" s="28">
        <x:f t="shared" si="10"/>
        <x:v>8.9979525021017928</x:v>
      </x:c>
      <x:c r="H36" s="28">
        <x:f t="shared" si="10"/>
        <x:v>9.1939647870891825</x:v>
      </x:c>
      <x:c r="I36" s="28">
        <x:f t="shared" si="10"/>
        <x:v>9.3888009983666478</x:v>
      </x:c>
      <x:c r="J36" s="28">
        <x:f t="shared" si="10"/>
        <x:v>9.5824681923764476</x:v>
      </x:c>
      <x:c r="K36" s="28">
        <x:f t="shared" si="10"/>
        <x:v>9.7749733832221892</x:v>
      </x:c>
      <x:c r="L36" s="28">
        <x:f t="shared" si="10"/>
        <x:v>9.966323542922856</x:v>
      </x:c>
      <x:c r="M36" s="28">
        <x:f t="shared" si="10"/>
        <x:v>10.156525601665319</x:v>
      </x:c>
      <x:c r="N36" s="28">
        <x:f t="shared" si="10"/>
        <x:v>10.345586448055327</x:v>
      </x:c>
    </x:row>
    <x:row r="37" ht="13.5" customHeight="1">
      <x:c r="B37" s="19" t="s">
        <x:v>327</x:v>
      </x:c>
      <x:c r="C37" s="21" t="n">
        <x:f>Assumptions!$F$34</x:f>
        <x:v>155</x:v>
      </x:c>
      <x:c r="D37" s="21" t="n">
        <x:f>Assumptions!$F$34</x:f>
        <x:v>155</x:v>
      </x:c>
      <x:c r="E37" s="21" t="n">
        <x:f>Assumptions!$F$34</x:f>
        <x:v>155</x:v>
      </x:c>
      <x:c r="F37" s="21" t="n">
        <x:f>Assumptions!$F$34</x:f>
        <x:v>155</x:v>
      </x:c>
      <x:c r="G37" s="21" t="n">
        <x:f>Assumptions!$F$34</x:f>
        <x:v>155</x:v>
      </x:c>
      <x:c r="H37" s="21" t="n">
        <x:f>Assumptions!$F$34</x:f>
        <x:v>155</x:v>
      </x:c>
      <x:c r="I37" s="21" t="n">
        <x:f>Assumptions!$F$34</x:f>
        <x:v>155</x:v>
      </x:c>
      <x:c r="J37" s="21" t="n">
        <x:f>Assumptions!$F$34</x:f>
        <x:v>155</x:v>
      </x:c>
      <x:c r="K37" s="21" t="n">
        <x:f>Assumptions!$F$34</x:f>
        <x:v>155</x:v>
      </x:c>
      <x:c r="L37" s="21" t="n">
        <x:f>Assumptions!$F$34</x:f>
        <x:v>155</x:v>
      </x:c>
      <x:c r="M37" s="21" t="n">
        <x:f>Assumptions!$F$34</x:f>
        <x:v>155</x:v>
      </x:c>
      <x:c r="N37" s="21" t="n">
        <x:f>Assumptions!$F$34</x:f>
        <x:v>155</x:v>
      </x:c>
    </x:row>
    <x:row r="38" ht="13.5" customHeight="1">
      <x:c r="B38" s="22" t="s">
        <x:v>35</x:v>
      </x:c>
      <x:c r="C38" s="23" t="n">
        <x:f t="shared" ref="C38:N38" si="11">AVERAGE(C33,C36)*C37/12</x:f>
        <x:v>104.63791666666664</x:v>
      </x:c>
      <x:c r="D38" s="23">
        <x:f t="shared" si="11"/>
        <x:v>107.23925583333333</x:v>
      </x:c>
      <x:c r="E38" s="23">
        <x:f t="shared" si="11"/>
        <x:v>109.82498696499999</x:v>
      </x:c>
      <x:c r="F38" s="23">
        <x:f t="shared" si="11"/>
        <x:v>112.39520370987664</x:v>
      </x:c>
      <x:c r="G38" s="23">
        <x:f t="shared" si="11"/>
        <x:v>114.9499991542841</x:v>
      </x:c>
      <x:c r="H38" s="23">
        <x:f t="shared" si="11"/>
        <x:v>117.48946582602504</x:v>
      </x:c>
      <x:c r="I38" s="23">
        <x:f t="shared" si="11"/>
        <x:v>120.01369569773557</x:v>
      </x:c>
      <x:c r="J38" s="23">
        <x:f t="shared" si="11"/>
        <x:v>122.52278019021581</x:v>
      </x:c>
      <x:c r="K38" s="23">
        <x:f t="shared" si="11"/>
        <x:v>125.01681017574118</x:v>
      </x:c>
      <x:c r="L38" s="23">
        <x:f t="shared" si="11"/>
        <x:v>127.49587598135344</x:v>
      </x:c>
      <x:c r="M38" s="23">
        <x:f t="shared" si="11"/>
        <x:v>129.96006739213195</x:v>
      </x:c>
      <x:c r="N38" s="23">
        <x:f t="shared" si="11"/>
        <x:v>132.40947365444583</x:v>
      </x:c>
    </x:row>
    <x:row r="39" ht="13.5" customHeight="1">
      <x:c r="B39" s="19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 ht="13.5" customHeight="1">
      <x:c r="B40" s="66" t="s">
        <x:v>331</x:v>
      </x:c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8"/>
    </x:row>
    <x:row r="41" ht="13.5" customHeight="1">
      <x:c r="B41" s="19" t="s">
        <x:v>323</x:v>
      </x:c>
      <x:c r="C41" s="20" t="n">
        <x:f>Assumptions!$F$28</x:f>
        <x:v>12</x:v>
      </x:c>
      <x:c r="D41" s="24" t="n">
        <x:f t="shared" ref="D41:N41" si="12">C44</x:f>
        <x:v>12.428</x:v>
      </x:c>
      <x:c r="E41" s="24">
        <x:f t="shared" si="12"/>
        <x:v>12.853432000000002</x:v>
      </x:c>
      <x:c r="F41" s="24">
        <x:f t="shared" si="12"/>
        <x:v>13.276311408000002</x:v>
      </x:c>
      <x:c r="G41" s="24">
        <x:f t="shared" si="12"/>
        <x:v>13.696653539552001</x:v>
      </x:c>
      <x:c r="H41" s="24">
        <x:f t="shared" si="12"/>
        <x:v>14.114473618314689</x:v>
      </x:c>
      <x:c r="I41" s="24">
        <x:f t="shared" si="12"/>
        <x:v>14.5297867766048</x:v>
      </x:c>
      <x:c r="J41" s="24">
        <x:f t="shared" si="12"/>
        <x:v>14.94260805594517</x:v>
      </x:c>
      <x:c r="K41" s="24">
        <x:f t="shared" si="12"/>
        <x:v>15.352952407609498</x:v>
      </x:c>
      <x:c r="L41" s="24">
        <x:f t="shared" si="12"/>
        <x:v>15.760834693163842</x:v>
      </x:c>
      <x:c r="M41" s="24">
        <x:f t="shared" si="12"/>
        <x:v>16.16626968500486</x:v>
      </x:c>
      <x:c r="N41" s="24">
        <x:f t="shared" si="12"/>
        <x:v>16.569272066894829</x:v>
      </x:c>
    </x:row>
    <x:row r="42" ht="13.5" customHeight="1">
      <x:c r="B42" s="19" t="s">
        <x:v>324</x:v>
      </x:c>
      <x:c r="C42" s="20" t="n">
        <x:f>Assumptions!$F$29</x:f>
        <x:v>0.5</x:v>
      </x:c>
      <x:c r="D42" s="20" t="n">
        <x:f>Assumptions!$F$29</x:f>
        <x:v>0.5</x:v>
      </x:c>
      <x:c r="E42" s="20" t="n">
        <x:f>Assumptions!$F$29</x:f>
        <x:v>0.5</x:v>
      </x:c>
      <x:c r="F42" s="20" t="n">
        <x:f>Assumptions!$F$29</x:f>
        <x:v>0.5</x:v>
      </x:c>
      <x:c r="G42" s="20" t="n">
        <x:f>Assumptions!$F$29</x:f>
        <x:v>0.5</x:v>
      </x:c>
      <x:c r="H42" s="20" t="n">
        <x:f>Assumptions!$F$29</x:f>
        <x:v>0.5</x:v>
      </x:c>
      <x:c r="I42" s="20" t="n">
        <x:f>Assumptions!$F$29</x:f>
        <x:v>0.5</x:v>
      </x:c>
      <x:c r="J42" s="20" t="n">
        <x:f>Assumptions!$F$29</x:f>
        <x:v>0.5</x:v>
      </x:c>
      <x:c r="K42" s="20" t="n">
        <x:f>Assumptions!$F$29</x:f>
        <x:v>0.5</x:v>
      </x:c>
      <x:c r="L42" s="20" t="n">
        <x:f>Assumptions!$F$29</x:f>
        <x:v>0.5</x:v>
      </x:c>
      <x:c r="M42" s="20" t="n">
        <x:f>Assumptions!$F$29</x:f>
        <x:v>0.5</x:v>
      </x:c>
      <x:c r="N42" s="20" t="n">
        <x:f>Assumptions!$F$29</x:f>
        <x:v>0.5</x:v>
      </x:c>
    </x:row>
    <x:row r="43" ht="13.5" customHeight="1">
      <x:c r="B43" s="19" t="s">
        <x:v>325</x:v>
      </x:c>
      <x:c r="C43" s="20" t="n">
        <x:f>C41*Assumptions!$F$30</x:f>
        <x:v>0.07200000000000001</x:v>
      </x:c>
      <x:c r="D43" s="20" t="n">
        <x:f>D41*Assumptions!$F$30</x:f>
        <x:v>0.07456800000000001</x:v>
      </x:c>
      <x:c r="E43" s="20" t="n">
        <x:f>E41*Assumptions!$F$30</x:f>
        <x:v>0.07712059200000002</x:v>
      </x:c>
      <x:c r="F43" s="20" t="n">
        <x:f>F41*Assumptions!$F$30</x:f>
        <x:v>0.079657868448</x:v>
      </x:c>
      <x:c r="G43" s="20" t="n">
        <x:f>G41*Assumptions!$F$30</x:f>
        <x:v>0.082179921237312</x:v>
      </x:c>
      <x:c r="H43" s="20" t="n">
        <x:f>H41*Assumptions!$F$30</x:f>
        <x:v>0.08468684170988813</x:v>
      </x:c>
      <x:c r="I43" s="20" t="n">
        <x:f>I41*Assumptions!$F$30</x:f>
        <x:v>0.0871787206596288</x:v>
      </x:c>
      <x:c r="J43" s="20" t="n">
        <x:f>J41*Assumptions!$F$30</x:f>
        <x:v>0.08965564833567102</x:v>
      </x:c>
      <x:c r="K43" s="20" t="n">
        <x:f>K41*Assumptions!$F$30</x:f>
        <x:v>0.09211771444565699</x:v>
      </x:c>
      <x:c r="L43" s="20" t="n">
        <x:f>L41*Assumptions!$F$30</x:f>
        <x:v>0.09456500815898305</x:v>
      </x:c>
      <x:c r="M43" s="20" t="n">
        <x:f>M41*Assumptions!$F$30</x:f>
        <x:v>0.09699761811002916</x:v>
      </x:c>
      <x:c r="N43" s="20" t="n">
        <x:f>N41*Assumptions!$F$30</x:f>
        <x:v>0.09941563240136897</x:v>
      </x:c>
    </x:row>
    <x:row r="44" ht="13.5" customHeight="1">
      <x:c r="B44" s="27" t="s">
        <x:v>326</x:v>
      </x:c>
      <x:c r="C44" s="28" t="n">
        <x:f t="shared" ref="C44:N44" si="13">C41+C42-C43</x:f>
        <x:v>12.428</x:v>
      </x:c>
      <x:c r="D44" s="28">
        <x:f t="shared" si="13"/>
        <x:v>12.853432000000002</x:v>
      </x:c>
      <x:c r="E44" s="28">
        <x:f t="shared" si="13"/>
        <x:v>13.276311408000002</x:v>
      </x:c>
      <x:c r="F44" s="28">
        <x:f t="shared" si="13"/>
        <x:v>13.696653539552001</x:v>
      </x:c>
      <x:c r="G44" s="28">
        <x:f t="shared" si="13"/>
        <x:v>14.114473618314689</x:v>
      </x:c>
      <x:c r="H44" s="28">
        <x:f t="shared" si="13"/>
        <x:v>14.5297867766048</x:v>
      </x:c>
      <x:c r="I44" s="28">
        <x:f t="shared" si="13"/>
        <x:v>14.94260805594517</x:v>
      </x:c>
      <x:c r="J44" s="28">
        <x:f t="shared" si="13"/>
        <x:v>15.352952407609498</x:v>
      </x:c>
      <x:c r="K44" s="28">
        <x:f t="shared" si="13"/>
        <x:v>15.760834693163842</x:v>
      </x:c>
      <x:c r="L44" s="28">
        <x:f t="shared" si="13"/>
        <x:v>16.16626968500486</x:v>
      </x:c>
      <x:c r="M44" s="28">
        <x:f t="shared" si="13"/>
        <x:v>16.569272066894829</x:v>
      </x:c>
      <x:c r="N44" s="28">
        <x:f t="shared" si="13"/>
        <x:v>16.969856434493462</x:v>
      </x:c>
    </x:row>
    <x:row r="45" ht="13.5" customHeight="1">
      <x:c r="B45" s="19" t="s">
        <x:v>327</x:v>
      </x:c>
      <x:c r="C45" s="21" t="n">
        <x:f>Assumptions!$F$35</x:f>
        <x:v>120</x:v>
      </x:c>
      <x:c r="D45" s="21" t="n">
        <x:f>Assumptions!$F$35</x:f>
        <x:v>120</x:v>
      </x:c>
      <x:c r="E45" s="21" t="n">
        <x:f>Assumptions!$F$35</x:f>
        <x:v>120</x:v>
      </x:c>
      <x:c r="F45" s="21" t="n">
        <x:f>Assumptions!$F$35</x:f>
        <x:v>120</x:v>
      </x:c>
      <x:c r="G45" s="21" t="n">
        <x:f>Assumptions!$F$35</x:f>
        <x:v>120</x:v>
      </x:c>
      <x:c r="H45" s="21" t="n">
        <x:f>Assumptions!$F$35</x:f>
        <x:v>120</x:v>
      </x:c>
      <x:c r="I45" s="21" t="n">
        <x:f>Assumptions!$F$35</x:f>
        <x:v>120</x:v>
      </x:c>
      <x:c r="J45" s="21" t="n">
        <x:f>Assumptions!$F$35</x:f>
        <x:v>120</x:v>
      </x:c>
      <x:c r="K45" s="21" t="n">
        <x:f>Assumptions!$F$35</x:f>
        <x:v>120</x:v>
      </x:c>
      <x:c r="L45" s="21" t="n">
        <x:f>Assumptions!$F$35</x:f>
        <x:v>120</x:v>
      </x:c>
      <x:c r="M45" s="21" t="n">
        <x:f>Assumptions!$F$35</x:f>
        <x:v>120</x:v>
      </x:c>
      <x:c r="N45" s="21" t="n">
        <x:f>Assumptions!$F$35</x:f>
        <x:v>120</x:v>
      </x:c>
    </x:row>
    <x:row r="46" ht="13.5" customHeight="1">
      <x:c r="B46" s="22" t="s">
        <x:v>35</x:v>
      </x:c>
      <x:c r="C46" s="23" t="n">
        <x:f t="shared" ref="C46:N46" si="14">AVERAGE(C41,C44)*C45/12</x:f>
        <x:v>122.14</x:v>
      </x:c>
      <x:c r="D46" s="23">
        <x:f t="shared" si="14"/>
        <x:v>126.40716000000002</x:v>
      </x:c>
      <x:c r="E46" s="23">
        <x:f t="shared" si="14"/>
        <x:v>130.64871704000001</x:v>
      </x:c>
      <x:c r="F46" s="23">
        <x:f t="shared" si="14"/>
        <x:v>134.86482473776002</x:v>
      </x:c>
      <x:c r="G46" s="23">
        <x:f t="shared" si="14"/>
        <x:v>139.05563578933345</x:v>
      </x:c>
      <x:c r="H46" s="23">
        <x:f t="shared" si="14"/>
        <x:v>143.22130197459742</x:v>
      </x:c>
      <x:c r="I46" s="23">
        <x:f t="shared" si="14"/>
        <x:v>147.36197416274985</x:v>
      </x:c>
      <x:c r="J46" s="23">
        <x:f t="shared" si="14"/>
        <x:v>151.47780231777332</x:v>
      </x:c>
      <x:c r="K46" s="23">
        <x:f t="shared" si="14"/>
        <x:v>155.5689355038667</x:v>
      </x:c>
      <x:c r="L46" s="23">
        <x:f t="shared" si="14"/>
        <x:v>159.63552189084351</x:v>
      </x:c>
      <x:c r="M46" s="23">
        <x:f t="shared" si="14"/>
        <x:v>163.67770875949844</x:v>
      </x:c>
      <x:c r="N46" s="23">
        <x:f t="shared" si="14"/>
        <x:v>167.69564250694145</x:v>
      </x:c>
    </x:row>
    <x:row r="47" ht="13.5" customHeight="1">
      <x:c r="B47" s="19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</x:row>
    <x:row r="48" ht="13.5" customHeight="1">
      <x:c r="B48" s="66" t="s">
        <x:v>332</x:v>
      </x:c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8"/>
    </x:row>
    <x:row r="49" ht="13.5" customHeight="1">
      <x:c r="B49" s="27" t="s">
        <x:v>326</x:v>
      </x:c>
      <x:c r="C49" s="28" t="n">
        <x:f t="shared" ref="C49:N49" si="15">SUM(C12,C20,C28,C36,C44)</x:f>
        <x:v>58.914</x:v>
      </x:c>
      <x:c r="D49" s="28">
        <x:f t="shared" si="15"/>
        <x:v>61.810515999999993</x:v>
      </x:c>
      <x:c r="E49" s="28">
        <x:f t="shared" si="15"/>
        <x:v>64.689652903999999</x:v>
      </x:c>
      <x:c r="F49" s="28">
        <x:f t="shared" si="15"/>
        <x:v>67.551514986575995</x:v>
      </x:c>
      <x:c r="G49" s="28">
        <x:f t="shared" si="15"/>
        <x:v>70.396205896656554</x:v>
      </x:c>
      <x:c r="H49" s="28">
        <x:f t="shared" si="15"/>
        <x:v>73.223828661276599</x:v>
      </x:c>
      <x:c r="I49" s="28">
        <x:f t="shared" si="15"/>
        <x:v>76.034485689308937</x:v>
      </x:c>
      <x:c r="J49" s="28">
        <x:f t="shared" si="15"/>
        <x:v>78.828278775173089</x:v>
      </x:c>
      <x:c r="K49" s="28">
        <x:f t="shared" si="15"/>
        <x:v>81.605309102522057</x:v>
      </x:c>
      <x:c r="L49" s="28">
        <x:f t="shared" si="15"/>
        <x:v>84.36567724790693</x:v>
      </x:c>
      <x:c r="M49" s="28">
        <x:f t="shared" si="15"/>
        <x:v>87.109483184419474</x:v>
      </x:c>
      <x:c r="N49" s="28">
        <x:f t="shared" si="15"/>
        <x:v>89.836826285312966</x:v>
      </x:c>
    </x:row>
    <x:row r="50" ht="13.5" customHeight="1">
      <x:c r="B50" s="22" t="s">
        <x:v>35</x:v>
      </x:c>
      <x:c r="C50" s="23" t="n">
        <x:f t="shared" ref="C50:N50" si="16">SUM(C14,C22,C30,C38,C46)</x:f>
        <x:v>702.7887499999999</x:v>
      </x:c>
      <x:c r="D50" s="23">
        <x:f t="shared" si="16"/>
        <x:v>738.25951750000002</x:v>
      </x:c>
      <x:c r="E50" s="23">
        <x:f t="shared" si="16"/>
        <x:v>773.51746039499994</x:v>
      </x:c>
      <x:c r="F50" s="23">
        <x:f t="shared" si="16"/>
        <x:v>808.56385563263007</x:v>
      </x:c>
      <x:c r="G50" s="23">
        <x:f t="shared" si="16"/>
        <x:v>843.39997249883425</x:v>
      </x:c>
      <x:c r="H50" s="23">
        <x:f t="shared" si="16"/>
        <x:v>878.02707266384107</x:v>
      </x:c>
      <x:c r="I50" s="23">
        <x:f t="shared" si="16"/>
        <x:v>912.44641022785822</x:v>
      </x:c>
      <x:c r="J50" s="23">
        <x:f t="shared" si="16"/>
        <x:v>946.65923176649096</x:v>
      </x:c>
      <x:c r="K50" s="23">
        <x:f t="shared" si="16"/>
        <x:v>980.66677637589203</x:v>
      </x:c>
      <x:c r="L50" s="23">
        <x:f t="shared" si="16"/>
        <x:v>1014.4702757176366</x:v>
      </x:c>
      <x:c r="M50" s="23">
        <x:f t="shared" si="16"/>
        <x:v>1048.0709540633309</x:v>
      </x:c>
      <x:c r="N50" s="23">
        <x:f t="shared" si="16"/>
        <x:v>1081.4700283389509</x:v>
      </x:c>
    </x:row>
    <x:row r="51" ht="13.5" customHeight="1">
      <x:c r="B51" s="19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</x:row>
    <x:row r="52" ht="13.5" customHeight="1">
      <x:c r="B52" s="66" t="s">
        <x:v>333</x:v>
      </x:c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8"/>
    </x:row>
    <x:row r="53" ht="13.5" customHeight="1">
      <x:c r="B53" s="19" t="s">
        <x:v>334</x:v>
      </x:c>
      <x:c r="C53" s="20" t="n">
        <x:f>Assumptions!$F$10*(1-Assumptions!$F$30)^1</x:f>
        <x:v>7.952</x:v>
      </x:c>
      <x:c r="D53" s="20" t="n">
        <x:f>Assumptions!$F$10*(1-Assumptions!$F$30)^2</x:f>
        <x:v>7.904288</x:v>
      </x:c>
      <x:c r="E53" s="20" t="n">
        <x:f>Assumptions!$F$10*(1-Assumptions!$F$30)^3</x:f>
        <x:v>7.856862272</x:v>
      </x:c>
      <x:c r="F53" s="20" t="n">
        <x:f>Assumptions!$F$10*(1-Assumptions!$F$30)^4</x:f>
        <x:v>7.809721098368</x:v>
      </x:c>
      <x:c r="G53" s="20" t="n">
        <x:f>Assumptions!$F$10*(1-Assumptions!$F$30)^5</x:f>
        <x:v>7.762862771777792</x:v>
      </x:c>
      <x:c r="H53" s="20" t="n">
        <x:f>Assumptions!$F$10*(1-Assumptions!$F$30)^6</x:f>
        <x:v>7.716285595147125</x:v>
      </x:c>
      <x:c r="I53" s="20" t="n">
        <x:f>Assumptions!$F$10*(1-Assumptions!$F$30)^7</x:f>
        <x:v>7.669987881576242</x:v>
      </x:c>
      <x:c r="J53" s="20" t="n">
        <x:f>Assumptions!$F$10*(1-Assumptions!$F$30)^8</x:f>
        <x:v>7.623967954286785</x:v>
      </x:c>
      <x:c r="K53" s="20" t="n">
        <x:f>Assumptions!$F$10*(1-Assumptions!$F$30)^9</x:f>
        <x:v>7.578224146561064</x:v>
      </x:c>
      <x:c r="L53" s="20" t="n">
        <x:f>Assumptions!$F$10*(1-Assumptions!$F$30)^10</x:f>
        <x:v>7.532754801681698</x:v>
      </x:c>
      <x:c r="M53" s="20" t="n">
        <x:f>Assumptions!$F$10*(1-Assumptions!$F$30)^11</x:f>
        <x:v>7.487558272871607</x:v>
      </x:c>
      <x:c r="N53" s="20" t="n">
        <x:f>Assumptions!$F$10*(1-Assumptions!$F$30)^12</x:f>
        <x:v>7.4426329232343775</x:v>
      </x:c>
    </x:row>
    <x:row r="54" ht="13.5" customHeight="1">
      <x:c r="B54" s="19" t="s">
        <x:v>335</x:v>
      </x:c>
      <x:c r="C54" s="20" t="n">
        <x:f>C10*0.25*(1-Assumptions!$F$30)^0</x:f>
        <x:v>0.25</x:v>
      </x:c>
      <x:c r="D54" s="20" t="n">
        <x:f>C10*0.5*(1-Assumptions!$F$30)^1</x:f>
        <x:v>0.497</x:v>
      </x:c>
      <x:c r="E54" s="20" t="n">
        <x:f>C10*0.75*(1-Assumptions!$F$30)^2</x:f>
        <x:v>0.741027</x:v>
      </x:c>
      <x:c r="F54" s="20" t="n">
        <x:f>C10*1*(1-Assumptions!$F$30)^3</x:f>
        <x:v>0.982107784</x:v>
      </x:c>
      <x:c r="G54" s="20" t="n">
        <x:f>C10*1*(1-Assumptions!$F$30)^4</x:f>
        <x:v>0.976215137296</x:v>
      </x:c>
      <x:c r="H54" s="20" t="n">
        <x:f>C10*1*(1-Assumptions!$F$30)^5</x:f>
        <x:v>0.970357846472224</x:v>
      </x:c>
      <x:c r="I54" s="20" t="n">
        <x:f>C10*1*(1-Assumptions!$F$30)^6</x:f>
        <x:v>0.9645356993933907</x:v>
      </x:c>
      <x:c r="J54" s="20" t="n">
        <x:f>C10*1*(1-Assumptions!$F$30)^7</x:f>
        <x:v>0.9587484851970303</x:v>
      </x:c>
      <x:c r="K54" s="20" t="n">
        <x:f>C10*1*(1-Assumptions!$F$30)^8</x:f>
        <x:v>0.9529959942858481</x:v>
      </x:c>
      <x:c r="L54" s="20" t="n">
        <x:f>C10*1*(1-Assumptions!$F$30)^9</x:f>
        <x:v>0.947278018320133</x:v>
      </x:c>
      <x:c r="M54" s="20" t="n">
        <x:f>C10*1*(1-Assumptions!$F$30)^10</x:f>
        <x:v>0.9415943502102122</x:v>
      </x:c>
      <x:c r="N54" s="20" t="n">
        <x:f>C10*1*(1-Assumptions!$F$30)^11</x:f>
        <x:v>0.9359447841089509</x:v>
      </x:c>
    </x:row>
    <x:row r="55" ht="13.5" customHeight="1">
      <x:c r="B55" s="19" t="s">
        <x:v>336</x:v>
      </x:c>
      <x:c r="C55" s="32">
        <x:v>0</x:v>
      </x:c>
      <x:c r="D55" s="20" t="n">
        <x:f>D10*0.25*(1-Assumptions!$F$30)^0</x:f>
        <x:v>0.25</x:v>
      </x:c>
      <x:c r="E55" s="20" t="n">
        <x:f>D10*0.5*(1-Assumptions!$F$30)^1</x:f>
        <x:v>0.497</x:v>
      </x:c>
      <x:c r="F55" s="20" t="n">
        <x:f>D10*0.75*(1-Assumptions!$F$30)^2</x:f>
        <x:v>0.741027</x:v>
      </x:c>
      <x:c r="G55" s="20" t="n">
        <x:f>D10*1*(1-Assumptions!$F$30)^3</x:f>
        <x:v>0.982107784</x:v>
      </x:c>
      <x:c r="H55" s="20" t="n">
        <x:f>D10*1*(1-Assumptions!$F$30)^4</x:f>
        <x:v>0.976215137296</x:v>
      </x:c>
      <x:c r="I55" s="20" t="n">
        <x:f>D10*1*(1-Assumptions!$F$30)^5</x:f>
        <x:v>0.970357846472224</x:v>
      </x:c>
      <x:c r="J55" s="20" t="n">
        <x:f>D10*1*(1-Assumptions!$F$30)^6</x:f>
        <x:v>0.9645356993933907</x:v>
      </x:c>
      <x:c r="K55" s="20" t="n">
        <x:f>D10*1*(1-Assumptions!$F$30)^7</x:f>
        <x:v>0.9587484851970303</x:v>
      </x:c>
      <x:c r="L55" s="20" t="n">
        <x:f>D10*1*(1-Assumptions!$F$30)^8</x:f>
        <x:v>0.9529959942858481</x:v>
      </x:c>
      <x:c r="M55" s="20" t="n">
        <x:f>D10*1*(1-Assumptions!$F$30)^9</x:f>
        <x:v>0.947278018320133</x:v>
      </x:c>
      <x:c r="N55" s="20" t="n">
        <x:f>D10*1*(1-Assumptions!$F$30)^10</x:f>
        <x:v>0.9415943502102122</x:v>
      </x:c>
    </x:row>
    <x:row r="56" ht="13.5" customHeight="1">
      <x:c r="B56" s="19" t="s">
        <x:v>337</x:v>
      </x:c>
      <x:c r="C56" s="32">
        <x:v>0</x:v>
      </x:c>
      <x:c r="D56" s="32">
        <x:v>0</x:v>
      </x:c>
      <x:c r="E56" s="20" t="n">
        <x:f>E10*0.25*(1-Assumptions!$F$30)^0</x:f>
        <x:v>0.25</x:v>
      </x:c>
      <x:c r="F56" s="20" t="n">
        <x:f>E10*0.5*(1-Assumptions!$F$30)^1</x:f>
        <x:v>0.497</x:v>
      </x:c>
      <x:c r="G56" s="20" t="n">
        <x:f>E10*0.75*(1-Assumptions!$F$30)^2</x:f>
        <x:v>0.741027</x:v>
      </x:c>
      <x:c r="H56" s="20" t="n">
        <x:f>E10*1*(1-Assumptions!$F$30)^3</x:f>
        <x:v>0.982107784</x:v>
      </x:c>
      <x:c r="I56" s="20" t="n">
        <x:f>E10*1*(1-Assumptions!$F$30)^4</x:f>
        <x:v>0.976215137296</x:v>
      </x:c>
      <x:c r="J56" s="20" t="n">
        <x:f>E10*1*(1-Assumptions!$F$30)^5</x:f>
        <x:v>0.970357846472224</x:v>
      </x:c>
      <x:c r="K56" s="20" t="n">
        <x:f>E10*1*(1-Assumptions!$F$30)^6</x:f>
        <x:v>0.9645356993933907</x:v>
      </x:c>
      <x:c r="L56" s="20" t="n">
        <x:f>E10*1*(1-Assumptions!$F$30)^7</x:f>
        <x:v>0.9587484851970303</x:v>
      </x:c>
      <x:c r="M56" s="20" t="n">
        <x:f>E10*1*(1-Assumptions!$F$30)^8</x:f>
        <x:v>0.9529959942858481</x:v>
      </x:c>
      <x:c r="N56" s="20" t="n">
        <x:f>E10*1*(1-Assumptions!$F$30)^9</x:f>
        <x:v>0.947278018320133</x:v>
      </x:c>
    </x:row>
    <x:row r="57" ht="13.5" customHeight="1">
      <x:c r="B57" s="19" t="s">
        <x:v>338</x:v>
      </x:c>
      <x:c r="C57" s="32">
        <x:v>0</x:v>
      </x:c>
      <x:c r="D57" s="32">
        <x:v>0</x:v>
      </x:c>
      <x:c r="E57" s="32">
        <x:v>0</x:v>
      </x:c>
      <x:c r="F57" s="20" t="n">
        <x:f>F10*0.25*(1-Assumptions!$F$30)^0</x:f>
        <x:v>0.25</x:v>
      </x:c>
      <x:c r="G57" s="20" t="n">
        <x:f>F10*0.5*(1-Assumptions!$F$30)^1</x:f>
        <x:v>0.497</x:v>
      </x:c>
      <x:c r="H57" s="20" t="n">
        <x:f>F10*0.75*(1-Assumptions!$F$30)^2</x:f>
        <x:v>0.741027</x:v>
      </x:c>
      <x:c r="I57" s="20" t="n">
        <x:f>F10*1*(1-Assumptions!$F$30)^3</x:f>
        <x:v>0.982107784</x:v>
      </x:c>
      <x:c r="J57" s="20" t="n">
        <x:f>F10*1*(1-Assumptions!$F$30)^4</x:f>
        <x:v>0.976215137296</x:v>
      </x:c>
      <x:c r="K57" s="20" t="n">
        <x:f>F10*1*(1-Assumptions!$F$30)^5</x:f>
        <x:v>0.970357846472224</x:v>
      </x:c>
      <x:c r="L57" s="20" t="n">
        <x:f>F10*1*(1-Assumptions!$F$30)^6</x:f>
        <x:v>0.9645356993933907</x:v>
      </x:c>
      <x:c r="M57" s="20" t="n">
        <x:f>F10*1*(1-Assumptions!$F$30)^7</x:f>
        <x:v>0.9587484851970303</x:v>
      </x:c>
      <x:c r="N57" s="20" t="n">
        <x:f>F10*1*(1-Assumptions!$F$30)^8</x:f>
        <x:v>0.9529959942858481</x:v>
      </x:c>
    </x:row>
    <x:row r="58" ht="13.5" customHeight="1">
      <x:c r="B58" s="19" t="s">
        <x:v>339</x:v>
      </x:c>
      <x:c r="C58" s="32">
        <x:v>0</x:v>
      </x:c>
      <x:c r="D58" s="32">
        <x:v>0</x:v>
      </x:c>
      <x:c r="E58" s="32">
        <x:v>0</x:v>
      </x:c>
      <x:c r="F58" s="32">
        <x:v>0</x:v>
      </x:c>
      <x:c r="G58" s="20" t="n">
        <x:f>G10*0.25*(1-Assumptions!$F$30)^0</x:f>
        <x:v>0.25</x:v>
      </x:c>
      <x:c r="H58" s="20" t="n">
        <x:f>G10*0.5*(1-Assumptions!$F$30)^1</x:f>
        <x:v>0.497</x:v>
      </x:c>
      <x:c r="I58" s="20" t="n">
        <x:f>G10*0.75*(1-Assumptions!$F$30)^2</x:f>
        <x:v>0.741027</x:v>
      </x:c>
      <x:c r="J58" s="20" t="n">
        <x:f>G10*1*(1-Assumptions!$F$30)^3</x:f>
        <x:v>0.982107784</x:v>
      </x:c>
      <x:c r="K58" s="20" t="n">
        <x:f>G10*1*(1-Assumptions!$F$30)^4</x:f>
        <x:v>0.976215137296</x:v>
      </x:c>
      <x:c r="L58" s="20" t="n">
        <x:f>G10*1*(1-Assumptions!$F$30)^5</x:f>
        <x:v>0.970357846472224</x:v>
      </x:c>
      <x:c r="M58" s="20" t="n">
        <x:f>G10*1*(1-Assumptions!$F$30)^6</x:f>
        <x:v>0.9645356993933907</x:v>
      </x:c>
      <x:c r="N58" s="20" t="n">
        <x:f>G10*1*(1-Assumptions!$F$30)^7</x:f>
        <x:v>0.9587484851970303</x:v>
      </x:c>
    </x:row>
    <x:row r="59" ht="13.5" customHeight="1">
      <x:c r="B59" s="19" t="s">
        <x:v>340</x:v>
      </x:c>
      <x:c r="C59" s="32">
        <x:v>0</x:v>
      </x:c>
      <x:c r="D59" s="32">
        <x:v>0</x:v>
      </x:c>
      <x:c r="E59" s="32">
        <x:v>0</x:v>
      </x:c>
      <x:c r="F59" s="32">
        <x:v>0</x:v>
      </x:c>
      <x:c r="G59" s="32">
        <x:v>0</x:v>
      </x:c>
      <x:c r="H59" s="20" t="n">
        <x:f>H10*0.25*(1-Assumptions!$F$30)^0</x:f>
        <x:v>0.25</x:v>
      </x:c>
      <x:c r="I59" s="20" t="n">
        <x:f>H10*0.5*(1-Assumptions!$F$30)^1</x:f>
        <x:v>0.497</x:v>
      </x:c>
      <x:c r="J59" s="20" t="n">
        <x:f>H10*0.75*(1-Assumptions!$F$30)^2</x:f>
        <x:v>0.741027</x:v>
      </x:c>
      <x:c r="K59" s="20" t="n">
        <x:f>H10*1*(1-Assumptions!$F$30)^3</x:f>
        <x:v>0.982107784</x:v>
      </x:c>
      <x:c r="L59" s="20" t="n">
        <x:f>H10*1*(1-Assumptions!$F$30)^4</x:f>
        <x:v>0.976215137296</x:v>
      </x:c>
      <x:c r="M59" s="20" t="n">
        <x:f>H10*1*(1-Assumptions!$F$30)^5</x:f>
        <x:v>0.970357846472224</x:v>
      </x:c>
      <x:c r="N59" s="20" t="n">
        <x:f>H10*1*(1-Assumptions!$F$30)^6</x:f>
        <x:v>0.9645356993933907</x:v>
      </x:c>
    </x:row>
    <x:row r="60" ht="13.5" customHeight="1">
      <x:c r="B60" s="19" t="s">
        <x:v>341</x:v>
      </x:c>
      <x:c r="C60" s="32">
        <x:v>0</x:v>
      </x:c>
      <x:c r="D60" s="32">
        <x:v>0</x:v>
      </x:c>
      <x:c r="E60" s="32">
        <x:v>0</x:v>
      </x:c>
      <x:c r="F60" s="32">
        <x:v>0</x:v>
      </x:c>
      <x:c r="G60" s="32">
        <x:v>0</x:v>
      </x:c>
      <x:c r="H60" s="32">
        <x:v>0</x:v>
      </x:c>
      <x:c r="I60" s="20" t="n">
        <x:f>I10*0.25*(1-Assumptions!$F$30)^0</x:f>
        <x:v>0.25</x:v>
      </x:c>
      <x:c r="J60" s="20" t="n">
        <x:f>I10*0.5*(1-Assumptions!$F$30)^1</x:f>
        <x:v>0.497</x:v>
      </x:c>
      <x:c r="K60" s="20" t="n">
        <x:f>I10*0.75*(1-Assumptions!$F$30)^2</x:f>
        <x:v>0.741027</x:v>
      </x:c>
      <x:c r="L60" s="20" t="n">
        <x:f>I10*1*(1-Assumptions!$F$30)^3</x:f>
        <x:v>0.982107784</x:v>
      </x:c>
      <x:c r="M60" s="20" t="n">
        <x:f>I10*1*(1-Assumptions!$F$30)^4</x:f>
        <x:v>0.976215137296</x:v>
      </x:c>
      <x:c r="N60" s="20" t="n">
        <x:f>I10*1*(1-Assumptions!$F$30)^5</x:f>
        <x:v>0.970357846472224</x:v>
      </x:c>
    </x:row>
    <x:row r="61" ht="13.5" customHeight="1">
      <x:c r="B61" s="19" t="s">
        <x:v>342</x:v>
      </x:c>
      <x:c r="C61" s="32">
        <x:v>0</x:v>
      </x:c>
      <x:c r="D61" s="32">
        <x:v>0</x:v>
      </x:c>
      <x:c r="E61" s="32">
        <x:v>0</x:v>
      </x:c>
      <x:c r="F61" s="32">
        <x:v>0</x:v>
      </x:c>
      <x:c r="G61" s="32">
        <x:v>0</x:v>
      </x:c>
      <x:c r="H61" s="32">
        <x:v>0</x:v>
      </x:c>
      <x:c r="I61" s="32">
        <x:v>0</x:v>
      </x:c>
      <x:c r="J61" s="20" t="n">
        <x:f>J10*0.25*(1-Assumptions!$F$30)^0</x:f>
        <x:v>0.25</x:v>
      </x:c>
      <x:c r="K61" s="20" t="n">
        <x:f>J10*0.5*(1-Assumptions!$F$30)^1</x:f>
        <x:v>0.497</x:v>
      </x:c>
      <x:c r="L61" s="20" t="n">
        <x:f>J10*0.75*(1-Assumptions!$F$30)^2</x:f>
        <x:v>0.741027</x:v>
      </x:c>
      <x:c r="M61" s="20" t="n">
        <x:f>J10*1*(1-Assumptions!$F$30)^3</x:f>
        <x:v>0.982107784</x:v>
      </x:c>
      <x:c r="N61" s="20" t="n">
        <x:f>J10*1*(1-Assumptions!$F$30)^4</x:f>
        <x:v>0.976215137296</x:v>
      </x:c>
    </x:row>
    <x:row r="62" ht="13.5" customHeight="1">
      <x:c r="B62" s="19" t="s">
        <x:v>343</x:v>
      </x:c>
      <x:c r="C62" s="32">
        <x:v>0</x:v>
      </x:c>
      <x:c r="D62" s="32">
        <x:v>0</x:v>
      </x:c>
      <x:c r="E62" s="32">
        <x:v>0</x:v>
      </x:c>
      <x:c r="F62" s="32">
        <x:v>0</x:v>
      </x:c>
      <x:c r="G62" s="32">
        <x:v>0</x:v>
      </x:c>
      <x:c r="H62" s="32">
        <x:v>0</x:v>
      </x:c>
      <x:c r="I62" s="32">
        <x:v>0</x:v>
      </x:c>
      <x:c r="J62" s="32">
        <x:v>0</x:v>
      </x:c>
      <x:c r="K62" s="20" t="n">
        <x:f>K10*0.25*(1-Assumptions!$F$30)^0</x:f>
        <x:v>0.25</x:v>
      </x:c>
      <x:c r="L62" s="20" t="n">
        <x:f>K10*0.5*(1-Assumptions!$F$30)^1</x:f>
        <x:v>0.497</x:v>
      </x:c>
      <x:c r="M62" s="20" t="n">
        <x:f>K10*0.75*(1-Assumptions!$F$30)^2</x:f>
        <x:v>0.741027</x:v>
      </x:c>
      <x:c r="N62" s="20" t="n">
        <x:f>K10*1*(1-Assumptions!$F$30)^3</x:f>
        <x:v>0.982107784</x:v>
      </x:c>
    </x:row>
    <x:row r="63" ht="13.5" customHeight="1">
      <x:c r="B63" s="19" t="s">
        <x:v>344</x:v>
      </x:c>
      <x:c r="C63" s="32">
        <x:v>0</x:v>
      </x:c>
      <x:c r="D63" s="32">
        <x:v>0</x:v>
      </x:c>
      <x:c r="E63" s="32">
        <x:v>0</x:v>
      </x:c>
      <x:c r="F63" s="32">
        <x:v>0</x:v>
      </x:c>
      <x:c r="G63" s="32">
        <x:v>0</x:v>
      </x:c>
      <x:c r="H63" s="32">
        <x:v>0</x:v>
      </x:c>
      <x:c r="I63" s="32">
        <x:v>0</x:v>
      </x:c>
      <x:c r="J63" s="32">
        <x:v>0</x:v>
      </x:c>
      <x:c r="K63" s="32">
        <x:v>0</x:v>
      </x:c>
      <x:c r="L63" s="20" t="n">
        <x:f>L10*0.25*(1-Assumptions!$F$30)^0</x:f>
        <x:v>0.25</x:v>
      </x:c>
      <x:c r="M63" s="20" t="n">
        <x:f>L10*0.5*(1-Assumptions!$F$30)^1</x:f>
        <x:v>0.497</x:v>
      </x:c>
      <x:c r="N63" s="20" t="n">
        <x:f>L10*0.75*(1-Assumptions!$F$30)^2</x:f>
        <x:v>0.741027</x:v>
      </x:c>
    </x:row>
    <x:row r="64" ht="13.5" customHeight="1">
      <x:c r="B64" s="19" t="s">
        <x:v>345</x:v>
      </x:c>
      <x:c r="C64" s="32">
        <x:v>0</x:v>
      </x:c>
      <x:c r="D64" s="32">
        <x:v>0</x:v>
      </x:c>
      <x:c r="E64" s="32">
        <x:v>0</x:v>
      </x:c>
      <x:c r="F64" s="32">
        <x:v>0</x:v>
      </x:c>
      <x:c r="G64" s="32">
        <x:v>0</x:v>
      </x:c>
      <x:c r="H64" s="32">
        <x:v>0</x:v>
      </x:c>
      <x:c r="I64" s="32">
        <x:v>0</x:v>
      </x:c>
      <x:c r="J64" s="32">
        <x:v>0</x:v>
      </x:c>
      <x:c r="K64" s="32">
        <x:v>0</x:v>
      </x:c>
      <x:c r="L64" s="32">
        <x:v>0</x:v>
      </x:c>
      <x:c r="M64" s="20" t="n">
        <x:f>M10*0.25*(1-Assumptions!$F$30)^0</x:f>
        <x:v>0.25</x:v>
      </x:c>
      <x:c r="N64" s="20" t="n">
        <x:f>M10*0.5*(1-Assumptions!$F$30)^1</x:f>
        <x:v>0.497</x:v>
      </x:c>
    </x:row>
    <x:row r="65" ht="13.5" customHeight="1">
      <x:c r="B65" s="19" t="s">
        <x:v>346</x:v>
      </x:c>
      <x:c r="C65" s="32">
        <x:v>0</x:v>
      </x:c>
      <x:c r="D65" s="32">
        <x:v>0</x:v>
      </x:c>
      <x:c r="E65" s="32">
        <x:v>0</x:v>
      </x:c>
      <x:c r="F65" s="32">
        <x:v>0</x:v>
      </x:c>
      <x:c r="G65" s="32">
        <x:v>0</x:v>
      </x:c>
      <x:c r="H65" s="32">
        <x:v>0</x:v>
      </x:c>
      <x:c r="I65" s="32">
        <x:v>0</x:v>
      </x:c>
      <x:c r="J65" s="32">
        <x:v>0</x:v>
      </x:c>
      <x:c r="K65" s="32">
        <x:v>0</x:v>
      </x:c>
      <x:c r="L65" s="32">
        <x:v>0</x:v>
      </x:c>
      <x:c r="M65" s="32">
        <x:v>0</x:v>
      </x:c>
      <x:c r="N65" s="20" t="n">
        <x:f>N10*0.25*(1-Assumptions!$F$30)^0</x:f>
        <x:v>0.25</x:v>
      </x:c>
    </x:row>
    <x:row r="66" ht="13.5" customHeight="1">
      <x:c r="B66" s="27" t="s">
        <x:v>347</x:v>
      </x:c>
      <x:c r="C66" s="28" t="n">
        <x:f t="shared" ref="C66:N66" si="17">SUM(C53:C65)</x:f>
        <x:v>8.202</x:v>
      </x:c>
      <x:c r="D66" s="28">
        <x:f t="shared" si="17"/>
        <x:v>8.651288000000001</x:v>
      </x:c>
      <x:c r="E66" s="28">
        <x:f t="shared" si="17"/>
        <x:v>9.3448892719999996</x:v>
      </x:c>
      <x:c r="F66" s="28">
        <x:f t="shared" si="17"/>
        <x:v>10.279855882368</x:v>
      </x:c>
      <x:c r="G66" s="28">
        <x:f t="shared" si="17"/>
        <x:v>11.209212693073793</x:v>
      </x:c>
      <x:c r="H66" s="28">
        <x:f t="shared" si="17"/>
        <x:v>12.132993362915352</x:v>
      </x:c>
      <x:c r="I66" s="28">
        <x:f t="shared" si="17"/>
        <x:v>13.051231348737858</x:v>
      </x:c>
      <x:c r="J66" s="28">
        <x:f t="shared" si="17"/>
        <x:v>13.963959906645432</x:v>
      </x:c>
      <x:c r="K66" s="28">
        <x:f t="shared" si="17"/>
        <x:v>14.87121209320556</x:v>
      </x:c>
      <x:c r="L66" s="28">
        <x:f t="shared" si="17"/>
        <x:v>15.773020766646328</x:v>
      </x:c>
      <x:c r="M66" s="28">
        <x:f t="shared" si="17"/>
        <x:v>16.669418588046451</x:v>
      </x:c>
      <x:c r="N66" s="28">
        <x:f t="shared" si="17"/>
        <x:v>17.56043802251817</x:v>
      </x:c>
    </x:row>
    <x:row r="67" ht="13.5" customHeight="1">
      <x:c r="B67" s="19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</x:row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48:N48"/>
    <x:mergeCell ref="B52:N52"/>
    <x:mergeCell ref="B2:N3"/>
    <x:mergeCell ref="B4:N4"/>
    <x:mergeCell ref="B8:N8"/>
    <x:mergeCell ref="B16:N16"/>
    <x:mergeCell ref="B24:N24"/>
    <x:mergeCell ref="B32:N32"/>
    <x:mergeCell ref="B40:N40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348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349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5" ht="13.5" customHeight="1"/>
    <x:row r="6" ht="13.5" customHeight="1">
      <x:c r="B6" s="50" t="s">
        <x:v>211</x:v>
      </x:c>
      <x:c r="C6" s="18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66" t="s">
        <x:v>350</x:v>
      </x:c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8"/>
    </x:row>
    <x:row r="9" ht="13.5" customHeight="1">
      <x:c r="B9" s="19" t="s">
        <x:v>24</x:v>
      </x:c>
      <x:c r="C9" s="21" t="n">
        <x:f>Revenue!C$48</x:f>
        <x:v>627.5648199999999</x:v>
      </x:c>
      <x:c r="D9" s="21" t="n">
        <x:f>Revenue!D$48</x:f>
        <x:v>666.8798509067204</x:v>
      </x:c>
      <x:c r="E9" s="21" t="n">
        <x:f>Revenue!E$48</x:f>
        <x:v>709.0826662348098</x:v>
      </x:c>
      <x:c r="F9" s="21" t="n">
        <x:f>Revenue!F$48</x:f>
        <x:v>755.2839856077072</x:v>
      </x:c>
      <x:c r="G9" s="21" t="n">
        <x:f>Revenue!G$48</x:f>
        <x:v>805.7680131403232</x:v>
      </x:c>
      <x:c r="H9" s="21" t="n">
        <x:f>Revenue!H$48</x:f>
        <x:v>860.5107611842532</x:v>
      </x:c>
      <x:c r="I9" s="21" t="n">
        <x:f>Revenue!I$48</x:f>
        <x:v>919.4883866571955</x:v>
      </x:c>
      <x:c r="J9" s="21" t="n">
        <x:f>Revenue!J$48</x:f>
        <x:v>982.6771901757951</x:v>
      </x:c>
      <x:c r="K9" s="21" t="n">
        <x:f>Revenue!K$48</x:f>
        <x:v>1050.0536151936892</x:v>
      </x:c>
      <x:c r="L9" s="21" t="n">
        <x:f>Revenue!L$48</x:f>
        <x:v>1121.5942471447256</x:v>
      </x:c>
      <x:c r="M9" s="21" t="n">
        <x:f>Revenue!M$48</x:f>
        <x:v>1197.2758125913224</x:v>
      </x:c>
      <x:c r="N9" s="21" t="n">
        <x:f>Revenue!N$48</x:f>
        <x:v>1277.0751783779358</x:v>
      </x:c>
    </x:row>
    <x:row r="10" ht="13.5" customHeight="1">
      <x:c r="B10" s="19" t="s">
        <x:v>133</x:v>
      </x:c>
      <x:c r="C10" s="34" t="n">
        <x:f>Assumptions!$F$40</x:f>
        <x:v>45</x:v>
      </x:c>
      <x:c r="D10" s="34" t="n">
        <x:f>Assumptions!$F$40</x:f>
        <x:v>45</x:v>
      </x:c>
      <x:c r="E10" s="34" t="n">
        <x:f>Assumptions!$F$40</x:f>
        <x:v>45</x:v>
      </x:c>
      <x:c r="F10" s="34" t="n">
        <x:f>Assumptions!$F$40</x:f>
        <x:v>45</x:v>
      </x:c>
      <x:c r="G10" s="34" t="n">
        <x:f>Assumptions!$F$40</x:f>
        <x:v>45</x:v>
      </x:c>
      <x:c r="H10" s="34" t="n">
        <x:f>Assumptions!$F$40</x:f>
        <x:v>45</x:v>
      </x:c>
      <x:c r="I10" s="34" t="n">
        <x:f>Assumptions!$F$40</x:f>
        <x:v>45</x:v>
      </x:c>
      <x:c r="J10" s="34" t="n">
        <x:f>Assumptions!$F$40</x:f>
        <x:v>45</x:v>
      </x:c>
      <x:c r="K10" s="34" t="n">
        <x:f>Assumptions!$F$40</x:f>
        <x:v>45</x:v>
      </x:c>
      <x:c r="L10" s="34" t="n">
        <x:f>Assumptions!$F$40</x:f>
        <x:v>45</x:v>
      </x:c>
      <x:c r="M10" s="34" t="n">
        <x:f>Assumptions!$F$40</x:f>
        <x:v>45</x:v>
      </x:c>
      <x:c r="N10" s="34" t="n">
        <x:f>Assumptions!$F$40</x:f>
        <x:v>45</x:v>
      </x:c>
    </x:row>
    <x:row r="11" ht="13.5" customHeight="1">
      <x:c r="B11" s="19" t="s">
        <x:v>351</x:v>
      </x:c>
      <x:c r="C11" s="31" t="n">
        <x:f t="shared" ref="C11:N11" si="0">C9*C10/30.4</x:f>
        <x:v>928.961082236842</x:v>
      </x:c>
      <x:c r="D11" s="31">
        <x:f t="shared" si="0"/>
        <x:v>987.15767403955329</x:v>
      </x:c>
      <x:c r="E11" s="31">
        <x:f t="shared" si="0"/>
        <x:v>1049.6289467291592</x:v>
      </x:c>
      <x:c r="F11" s="31">
        <x:f t="shared" si="0"/>
        <x:v>1118.0190576429877</x:v>
      </x:c>
      <x:c r="G11" s="31">
        <x:f t="shared" si="0"/>
        <x:v>1192.7487036616626</x:v>
      </x:c>
      <x:c r="H11" s="31">
        <x:f t="shared" si="0"/>
        <x:v>1273.7823767530062</x:v>
      </x:c>
      <x:c r="I11" s="31">
        <x:f t="shared" si="0"/>
        <x:v>1361.0847828807171</x:v>
      </x:c>
      <x:c r="J11" s="31">
        <x:f t="shared" si="0"/>
        <x:v>1454.6208407207494</x:v>
      </x:c>
      <x:c r="K11" s="31">
        <x:f t="shared" si="0"/>
        <x:v>1554.3556803853953</x:v>
      </x:c>
      <x:c r="L11" s="31">
        <x:f t="shared" si="0"/>
        <x:v>1660.2546421550217</x:v>
      </x:c>
      <x:c r="M11" s="31">
        <x:f t="shared" si="0"/>
        <x:v>1772.2832752174181</x:v>
      </x:c>
      <x:c r="N11" s="31">
        <x:f t="shared" si="0"/>
        <x:v>1890.4073364147077</x:v>
      </x:c>
    </x:row>
    <x:row r="12" ht="13.5" customHeight="1">
      <x:c r="B12" s="19" t="s">
        <x:v>352</x:v>
      </x:c>
      <x:c r="C12" s="21" t="n">
        <x:f>C11-Assumptions!$F$52</x:f>
        <x:v>128.961082236842</x:v>
      </x:c>
      <x:c r="D12" s="31" t="n">
        <x:f t="shared" ref="D12:N12" si="1">D11-C11</x:f>
        <x:v>58.19659180271128</x:v>
      </x:c>
      <x:c r="E12" s="31">
        <x:f t="shared" si="1"/>
        <x:v>62.471272689605939</x:v>
      </x:c>
      <x:c r="F12" s="31">
        <x:f t="shared" si="1"/>
        <x:v>68.390110913828494</x:v>
      </x:c>
      <x:c r="G12" s="31">
        <x:f t="shared" si="1"/>
        <x:v>74.729646018674885</x:v>
      </x:c>
      <x:c r="H12" s="31">
        <x:f t="shared" si="1"/>
        <x:v>81.033673091343644</x:v>
      </x:c>
      <x:c r="I12" s="31">
        <x:f t="shared" si="1"/>
        <x:v>87.30240612771081</x:v>
      </x:c>
      <x:c r="J12" s="31">
        <x:f t="shared" si="1"/>
        <x:v>93.536057840032299</x:v>
      </x:c>
      <x:c r="K12" s="31">
        <x:f t="shared" si="1"/>
        <x:v>99.734839664645961</x:v>
      </x:c>
      <x:c r="L12" s="31">
        <x:f t="shared" si="1"/>
        <x:v>105.89896176962634</x:v>
      </x:c>
      <x:c r="M12" s="31">
        <x:f t="shared" si="1"/>
        <x:v>112.02863306239647</x:v>
      </x:c>
      <x:c r="N12" s="31">
        <x:f t="shared" si="1"/>
        <x:v>118.12406119728962</x:v>
      </x:c>
    </x:row>
    <x:row r="13" ht="13.5" customHeight="1">
      <x:c r="B13" s="19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</x:row>
    <x:row r="14" ht="13.5" customHeight="1">
      <x:c r="B14" s="66" t="s">
        <x:v>353</x:v>
      </x:c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8"/>
    </x:row>
    <x:row r="15" ht="13.5" customHeight="1">
      <x:c r="B15" s="19" t="s">
        <x:v>354</x:v>
      </x:c>
      <x:c r="C15" s="21" t="n">
        <x:f>OpEx!C$15</x:f>
        <x:v>120.34346759999998</x:v>
      </x:c>
      <x:c r="D15" s="21" t="n">
        <x:f>OpEx!D$15</x:f>
        <x:v>127.82453236320968</x:v>
      </x:c>
      <x:c r="E15" s="21" t="n">
        <x:f>OpEx!E$15</x:f>
        <x:v>136.04528026706578</x:v>
      </x:c>
      <x:c r="F15" s="21" t="n">
        <x:f>OpEx!F$15</x:f>
        <x:v>145.2029877035185</x:v>
      </x:c>
      <x:c r="G15" s="21" t="n">
        <x:f>OpEx!G$15</x:f>
        <x:v>155.12653378902456</x:v>
      </x:c>
      <x:c r="H15" s="21" t="n">
        <x:f>OpEx!H$15</x:f>
        <x:v>165.81163103978938</x:v>
      </x:c>
      <x:c r="I15" s="21" t="n">
        <x:f>OpEx!I$15</x:f>
        <x:v>177.25401781215925</x:v>
      </x:c>
      <x:c r="J15" s="21" t="n">
        <x:f>OpEx!J$15</x:f>
        <x:v>189.449458147624</x:v>
      </x:c>
      <x:c r="K15" s="21" t="n">
        <x:f>OpEx!K$15</x:f>
        <x:v>202.39374161874903</x:v>
      </x:c>
      <x:c r="L15" s="21" t="n">
        <x:f>OpEx!L$15</x:f>
        <x:v>216.0826831760323</x:v>
      </x:c>
      <x:c r="M15" s="21" t="n">
        <x:f>OpEx!M$15</x:f>
        <x:v>230.51212299567982</x:v>
      </x:c>
      <x:c r="N15" s="21" t="n">
        <x:f>OpEx!N$15</x:f>
        <x:v>245.6779263282948</x:v>
      </x:c>
    </x:row>
    <x:row r="16" ht="13.5" customHeight="1">
      <x:c r="B16" s="19" t="s">
        <x:v>136</x:v>
      </x:c>
      <x:c r="C16" s="34" t="n">
        <x:f>Assumptions!$F$41</x:f>
        <x:v>30</x:v>
      </x:c>
      <x:c r="D16" s="34" t="n">
        <x:f>Assumptions!$F$41</x:f>
        <x:v>30</x:v>
      </x:c>
      <x:c r="E16" s="34" t="n">
        <x:f>Assumptions!$F$41</x:f>
        <x:v>30</x:v>
      </x:c>
      <x:c r="F16" s="34" t="n">
        <x:f>Assumptions!$F$41</x:f>
        <x:v>30</x:v>
      </x:c>
      <x:c r="G16" s="34" t="n">
        <x:f>Assumptions!$F$41</x:f>
        <x:v>30</x:v>
      </x:c>
      <x:c r="H16" s="34" t="n">
        <x:f>Assumptions!$F$41</x:f>
        <x:v>30</x:v>
      </x:c>
      <x:c r="I16" s="34" t="n">
        <x:f>Assumptions!$F$41</x:f>
        <x:v>30</x:v>
      </x:c>
      <x:c r="J16" s="34" t="n">
        <x:f>Assumptions!$F$41</x:f>
        <x:v>30</x:v>
      </x:c>
      <x:c r="K16" s="34" t="n">
        <x:f>Assumptions!$F$41</x:f>
        <x:v>30</x:v>
      </x:c>
      <x:c r="L16" s="34" t="n">
        <x:f>Assumptions!$F$41</x:f>
        <x:v>30</x:v>
      </x:c>
      <x:c r="M16" s="34" t="n">
        <x:f>Assumptions!$F$41</x:f>
        <x:v>30</x:v>
      </x:c>
      <x:c r="N16" s="34" t="n">
        <x:f>Assumptions!$F$41</x:f>
        <x:v>30</x:v>
      </x:c>
    </x:row>
    <x:row r="17" ht="13.5" customHeight="1">
      <x:c r="B17" s="19" t="s">
        <x:v>355</x:v>
      </x:c>
      <x:c r="C17" s="31" t="n">
        <x:f t="shared" ref="C17:N17" si="2">C15*C16/30.4</x:f>
        <x:v>118.76000092105262</x:v>
      </x:c>
      <x:c r="D17" s="31">
        <x:f t="shared" si="2"/>
        <x:v>126.14263062158851</x:v>
      </x:c>
      <x:c r="E17" s="31">
        <x:f t="shared" si="2"/>
        <x:v>134.25521078986756</x:v>
      </x:c>
      <x:c r="F17" s="31">
        <x:f t="shared" si="2"/>
        <x:v>143.29242207584062</x:v>
      </x:c>
      <x:c r="G17" s="31">
        <x:f t="shared" si="2"/>
        <x:v>153.0853951865374</x:v>
      </x:c>
      <x:c r="H17" s="31">
        <x:f t="shared" si="2"/>
        <x:v>163.62989905242372</x:v>
      </x:c>
      <x:c r="I17" s="31">
        <x:f t="shared" si="2"/>
        <x:v>174.92172810410452</x:v>
      </x:c>
      <x:c r="J17" s="31">
        <x:f t="shared" si="2"/>
        <x:v>186.95670211936581</x:v>
      </x:c>
      <x:c r="K17" s="31">
        <x:f t="shared" si="2"/>
        <x:v>199.73066607113392</x:v>
      </x:c>
      <x:c r="L17" s="31">
        <x:f t="shared" si="2"/>
        <x:v>213.23948997634767</x:v>
      </x:c>
      <x:c r="M17" s="31">
        <x:f t="shared" si="2"/>
        <x:v>227.47906874573667</x:v>
      </x:c>
      <x:c r="N17" s="31">
        <x:f t="shared" si="2"/>
        <x:v>242.44532203450146</x:v>
      </x:c>
    </x:row>
    <x:row r="18" ht="13.5" customHeight="1">
      <x:c r="B18" s="19" t="s">
        <x:v>356</x:v>
      </x:c>
      <x:c r="C18" s="21" t="n">
        <x:f>C17-Assumptions!$F$56</x:f>
        <x:v>-131.2399990789474</x:v>
      </x:c>
      <x:c r="D18" s="31" t="n">
        <x:f t="shared" ref="D18:N18" si="3">D17-C17</x:f>
        <x:v>7.382629700535887</x:v>
      </x:c>
      <x:c r="E18" s="31">
        <x:f t="shared" si="3"/>
        <x:v>8.1125801682790524</x:v>
      </x:c>
      <x:c r="F18" s="31">
        <x:f t="shared" si="3"/>
        <x:v>9.0372112859730578</x:v>
      </x:c>
      <x:c r="G18" s="31">
        <x:f t="shared" si="3"/>
        <x:v>9.7929731106967779</x:v>
      </x:c>
      <x:c r="H18" s="31">
        <x:f t="shared" si="3"/>
        <x:v>10.544503865886327</x:v>
      </x:c>
      <x:c r="I18" s="31">
        <x:f t="shared" si="3"/>
        <x:v>11.291829051680793</x:v>
      </x:c>
      <x:c r="J18" s="31">
        <x:f t="shared" si="3"/>
        <x:v>12.034974015261298</x:v>
      </x:c>
      <x:c r="K18" s="31">
        <x:f t="shared" si="3"/>
        <x:v>12.77396395176811</x:v>
      </x:c>
      <x:c r="L18" s="31">
        <x:f t="shared" si="3"/>
        <x:v>13.508823905213745</x:v>
      </x:c>
      <x:c r="M18" s="31">
        <x:f t="shared" si="3"/>
        <x:v>14.239578769388999</x:v>
      </x:c>
      <x:c r="N18" s="31">
        <x:f t="shared" si="3"/>
        <x:v>14.96625328876479</x:v>
      </x:c>
    </x:row>
    <x:row r="19" ht="13.5" customHeight="1">
      <x:c r="B19" s="19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 ht="13.5" customHeight="1">
      <x:c r="B20" s="66" t="s">
        <x:v>357</x:v>
      </x:c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8"/>
    </x:row>
    <x:row r="21" ht="13.5" customHeight="1">
      <x:c r="B21" s="19" t="s">
        <x:v>358</x:v>
      </x:c>
      <x:c r="C21" s="21" t="n">
        <x:f>OpEx!C$32</x:f>
        <x:v>440</x:v>
      </x:c>
      <x:c r="D21" s="21" t="n">
        <x:f>OpEx!D$32</x:f>
        <x:v>440</x:v>
      </x:c>
      <x:c r="E21" s="21" t="n">
        <x:f>OpEx!E$32</x:f>
        <x:v>440</x:v>
      </x:c>
      <x:c r="F21" s="21" t="n">
        <x:f>OpEx!F$32</x:f>
        <x:v>440</x:v>
      </x:c>
      <x:c r="G21" s="21" t="n">
        <x:f>OpEx!G$32</x:f>
        <x:v>440</x:v>
      </x:c>
      <x:c r="H21" s="21" t="n">
        <x:f>OpEx!H$32</x:f>
        <x:v>440</x:v>
      </x:c>
      <x:c r="I21" s="21" t="n">
        <x:f>OpEx!I$32</x:f>
        <x:v>440</x:v>
      </x:c>
      <x:c r="J21" s="21" t="n">
        <x:f>OpEx!J$32</x:f>
        <x:v>440</x:v>
      </x:c>
      <x:c r="K21" s="21" t="n">
        <x:f>OpEx!K$32</x:f>
        <x:v>440</x:v>
      </x:c>
      <x:c r="L21" s="21" t="n">
        <x:f>OpEx!L$32</x:f>
        <x:v>440</x:v>
      </x:c>
      <x:c r="M21" s="21" t="n">
        <x:f>OpEx!M$32</x:f>
        <x:v>440</x:v>
      </x:c>
      <x:c r="N21" s="21" t="n">
        <x:f>OpEx!N$32</x:f>
        <x:v>440</x:v>
      </x:c>
    </x:row>
    <x:row r="22" ht="13.5" customHeight="1">
      <x:c r="B22" s="19" t="s">
        <x:v>359</x:v>
      </x:c>
      <x:c r="C22" s="29" t="n">
        <x:f>Assumptions!$F$43</x:f>
        <x:v>0.05</x:v>
      </x:c>
      <x:c r="D22" s="29" t="n">
        <x:f>Assumptions!$F$43</x:f>
        <x:v>0.05</x:v>
      </x:c>
      <x:c r="E22" s="29" t="n">
        <x:f>Assumptions!$F$43</x:f>
        <x:v>0.05</x:v>
      </x:c>
      <x:c r="F22" s="29" t="n">
        <x:f>Assumptions!$F$43</x:f>
        <x:v>0.05</x:v>
      </x:c>
      <x:c r="G22" s="29" t="n">
        <x:f>Assumptions!$F$43</x:f>
        <x:v>0.05</x:v>
      </x:c>
      <x:c r="H22" s="29" t="n">
        <x:f>Assumptions!$F$43</x:f>
        <x:v>0.05</x:v>
      </x:c>
      <x:c r="I22" s="29" t="n">
        <x:f>Assumptions!$F$43</x:f>
        <x:v>0.05</x:v>
      </x:c>
      <x:c r="J22" s="29" t="n">
        <x:f>Assumptions!$F$43</x:f>
        <x:v>0.05</x:v>
      </x:c>
      <x:c r="K22" s="29" t="n">
        <x:f>Assumptions!$F$43</x:f>
        <x:v>0.05</x:v>
      </x:c>
      <x:c r="L22" s="29" t="n">
        <x:f>Assumptions!$F$43</x:f>
        <x:v>0.05</x:v>
      </x:c>
      <x:c r="M22" s="29" t="n">
        <x:f>Assumptions!$F$43</x:f>
        <x:v>0.05</x:v>
      </x:c>
      <x:c r="N22" s="29" t="n">
        <x:f>Assumptions!$F$43</x:f>
        <x:v>0.05</x:v>
      </x:c>
    </x:row>
    <x:row r="23" ht="13.5" customHeight="1">
      <x:c r="B23" s="19" t="s">
        <x:v>360</x:v>
      </x:c>
      <x:c r="C23" s="31" t="n">
        <x:f t="shared" ref="C23:N23" si="4">C21*C22</x:f>
        <x:v>22</x:v>
      </x:c>
      <x:c r="D23" s="31">
        <x:f t="shared" si="4"/>
        <x:v>22</x:v>
      </x:c>
      <x:c r="E23" s="31">
        <x:f t="shared" si="4"/>
        <x:v>22</x:v>
      </x:c>
      <x:c r="F23" s="31">
        <x:f t="shared" si="4"/>
        <x:v>22</x:v>
      </x:c>
      <x:c r="G23" s="31">
        <x:f t="shared" si="4"/>
        <x:v>22</x:v>
      </x:c>
      <x:c r="H23" s="31">
        <x:f t="shared" si="4"/>
        <x:v>22</x:v>
      </x:c>
      <x:c r="I23" s="31">
        <x:f t="shared" si="4"/>
        <x:v>22</x:v>
      </x:c>
      <x:c r="J23" s="31">
        <x:f t="shared" si="4"/>
        <x:v>22</x:v>
      </x:c>
      <x:c r="K23" s="31">
        <x:f t="shared" si="4"/>
        <x:v>22</x:v>
      </x:c>
      <x:c r="L23" s="31">
        <x:f t="shared" si="4"/>
        <x:v>22</x:v>
      </x:c>
      <x:c r="M23" s="31">
        <x:f t="shared" si="4"/>
        <x:v>22</x:v>
      </x:c>
      <x:c r="N23" s="31">
        <x:f t="shared" si="4"/>
        <x:v>22</x:v>
      </x:c>
    </x:row>
    <x:row r="24" ht="13.5" customHeight="1">
      <x:c r="B24" s="19" t="s">
        <x:v>361</x:v>
      </x:c>
      <x:c r="C24" s="21" t="n">
        <x:f>C23-Assumptions!$F$53</x:f>
        <x:v>-98</x:v>
      </x:c>
      <x:c r="D24" s="31" t="n">
        <x:f t="shared" ref="D24:N24" si="5">D23-C23</x:f>
        <x:v>0</x:v>
      </x:c>
      <x:c r="E24" s="31">
        <x:f t="shared" si="5"/>
        <x:v>0</x:v>
      </x:c>
      <x:c r="F24" s="31">
        <x:f t="shared" si="5"/>
        <x:v>0</x:v>
      </x:c>
      <x:c r="G24" s="31">
        <x:f t="shared" si="5"/>
        <x:v>0</x:v>
      </x:c>
      <x:c r="H24" s="31">
        <x:f t="shared" si="5"/>
        <x:v>0</x:v>
      </x:c>
      <x:c r="I24" s="31">
        <x:f t="shared" si="5"/>
        <x:v>0</x:v>
      </x:c>
      <x:c r="J24" s="31">
        <x:f t="shared" si="5"/>
        <x:v>0</x:v>
      </x:c>
      <x:c r="K24" s="31">
        <x:f t="shared" si="5"/>
        <x:v>0</x:v>
      </x:c>
      <x:c r="L24" s="31">
        <x:f t="shared" si="5"/>
        <x:v>0</x:v>
      </x:c>
      <x:c r="M24" s="31">
        <x:f t="shared" si="5"/>
        <x:v>0</x:v>
      </x:c>
      <x:c r="N24" s="31">
        <x:f t="shared" si="5"/>
        <x:v>0</x:v>
      </x:c>
    </x:row>
    <x:row r="25" ht="13.5" customHeight="1">
      <x:c r="B25" s="19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 ht="13.5" customHeight="1">
      <x:c r="B26" s="66" t="s">
        <x:v>362</x:v>
      </x:c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8"/>
    </x:row>
    <x:row r="27" ht="13.5" customHeight="1">
      <x:c r="B27" s="19" t="s">
        <x:v>219</x:v>
      </x:c>
      <x:c r="C27" s="21" t="n">
        <x:f>OpEx!C$37</x:f>
        <x:v>1142.78875</x:v>
      </x:c>
      <x:c r="D27" s="21" t="n">
        <x:f>OpEx!D$37</x:f>
        <x:v>1178.2595175000001</x:v>
      </x:c>
      <x:c r="E27" s="21" t="n">
        <x:f>OpEx!E$37</x:f>
        <x:v>1213.517460395</x:v>
      </x:c>
      <x:c r="F27" s="21" t="n">
        <x:f>OpEx!F$37</x:f>
        <x:v>1248.56385563263</x:v>
      </x:c>
      <x:c r="G27" s="21" t="n">
        <x:f>OpEx!G$37</x:f>
        <x:v>1283.3999724988344</x:v>
      </x:c>
      <x:c r="H27" s="21" t="n">
        <x:f>OpEx!H$37</x:f>
        <x:v>1318.027072663841</x:v>
      </x:c>
      <x:c r="I27" s="21" t="n">
        <x:f>OpEx!I$37</x:f>
        <x:v>1352.4464102278582</x:v>
      </x:c>
      <x:c r="J27" s="21" t="n">
        <x:f>OpEx!J$37</x:f>
        <x:v>1386.6592317664908</x:v>
      </x:c>
      <x:c r="K27" s="21" t="n">
        <x:f>OpEx!K$37</x:f>
        <x:v>1420.666776375892</x:v>
      </x:c>
      <x:c r="L27" s="21" t="n">
        <x:f>OpEx!L$37</x:f>
        <x:v>1454.4702757176365</x:v>
      </x:c>
      <x:c r="M27" s="21" t="n">
        <x:f>OpEx!M$37</x:f>
        <x:v>1488.0709540633309</x:v>
      </x:c>
      <x:c r="N27" s="21" t="n">
        <x:f>OpEx!N$37</x:f>
        <x:v>1521.470028338951</x:v>
      </x:c>
    </x:row>
    <x:row r="28" ht="13.5" customHeight="1">
      <x:c r="B28" s="19" t="s">
        <x:v>363</x:v>
      </x:c>
      <x:c r="C28" s="29" t="n">
        <x:f>Assumptions!$F$42</x:f>
        <x:v>0.1</x:v>
      </x:c>
      <x:c r="D28" s="29" t="n">
        <x:f>Assumptions!$F$42</x:f>
        <x:v>0.1</x:v>
      </x:c>
      <x:c r="E28" s="29" t="n">
        <x:f>Assumptions!$F$42</x:f>
        <x:v>0.1</x:v>
      </x:c>
      <x:c r="F28" s="29" t="n">
        <x:f>Assumptions!$F$42</x:f>
        <x:v>0.1</x:v>
      </x:c>
      <x:c r="G28" s="29" t="n">
        <x:f>Assumptions!$F$42</x:f>
        <x:v>0.1</x:v>
      </x:c>
      <x:c r="H28" s="29" t="n">
        <x:f>Assumptions!$F$42</x:f>
        <x:v>0.1</x:v>
      </x:c>
      <x:c r="I28" s="29" t="n">
        <x:f>Assumptions!$F$42</x:f>
        <x:v>0.1</x:v>
      </x:c>
      <x:c r="J28" s="29" t="n">
        <x:f>Assumptions!$F$42</x:f>
        <x:v>0.1</x:v>
      </x:c>
      <x:c r="K28" s="29" t="n">
        <x:f>Assumptions!$F$42</x:f>
        <x:v>0.1</x:v>
      </x:c>
      <x:c r="L28" s="29" t="n">
        <x:f>Assumptions!$F$42</x:f>
        <x:v>0.1</x:v>
      </x:c>
      <x:c r="M28" s="29" t="n">
        <x:f>Assumptions!$F$42</x:f>
        <x:v>0.1</x:v>
      </x:c>
      <x:c r="N28" s="29" t="n">
        <x:f>Assumptions!$F$42</x:f>
        <x:v>0.1</x:v>
      </x:c>
    </x:row>
    <x:row r="29" ht="13.5" customHeight="1">
      <x:c r="B29" s="19" t="s">
        <x:v>364</x:v>
      </x:c>
      <x:c r="C29" s="31" t="n">
        <x:f t="shared" ref="C29:N29" si="6">C27*C28</x:f>
        <x:v>114.278875</x:v>
      </x:c>
      <x:c r="D29" s="31">
        <x:f t="shared" si="6"/>
        <x:v>117.82595175000002</x:v>
      </x:c>
      <x:c r="E29" s="31">
        <x:f t="shared" si="6"/>
        <x:v>121.3517460395</x:v>
      </x:c>
      <x:c r="F29" s="31">
        <x:f t="shared" si="6"/>
        <x:v>124.85638556326302</x:v>
      </x:c>
      <x:c r="G29" s="31">
        <x:f t="shared" si="6"/>
        <x:v>128.33999724988345</x:v>
      </x:c>
      <x:c r="H29" s="31">
        <x:f t="shared" si="6"/>
        <x:v>131.80270726638409</x:v>
      </x:c>
      <x:c r="I29" s="31">
        <x:f t="shared" si="6"/>
        <x:v>135.24464102278583</x:v>
      </x:c>
      <x:c r="J29" s="31">
        <x:f t="shared" si="6"/>
        <x:v>138.6659231766491</x:v>
      </x:c>
      <x:c r="K29" s="31">
        <x:f t="shared" si="6"/>
        <x:v>142.06667763758921</x:v>
      </x:c>
      <x:c r="L29" s="31">
        <x:f t="shared" si="6"/>
        <x:v>145.44702757176364</x:v>
      </x:c>
      <x:c r="M29" s="31">
        <x:f t="shared" si="6"/>
        <x:v>148.8070954063331</x:v>
      </x:c>
      <x:c r="N29" s="31">
        <x:f t="shared" si="6"/>
        <x:v>152.1470028338951</x:v>
      </x:c>
    </x:row>
    <x:row r="30" ht="13.5" customHeight="1">
      <x:c r="B30" s="19" t="s">
        <x:v>365</x:v>
      </x:c>
      <x:c r="C30" s="21" t="n">
        <x:f>C29-Assumptions!$F$57</x:f>
        <x:v>-85.721125</x:v>
      </x:c>
      <x:c r="D30" s="31" t="n">
        <x:f t="shared" ref="D30:N30" si="7">D29-C29</x:f>
        <x:v>3.5470767500000164</x:v>
      </x:c>
      <x:c r="E30" s="31">
        <x:f t="shared" si="7"/>
        <x:v>3.5257942894999843</x:v>
      </x:c>
      <x:c r="F30" s="31">
        <x:f t="shared" si="7"/>
        <x:v>3.5046395237630179</x:v>
      </x:c>
      <x:c r="G30" s="31">
        <x:f t="shared" si="7"/>
        <x:v>3.483611686620435</x:v>
      </x:c>
      <x:c r="H30" s="31">
        <x:f t="shared" si="7"/>
        <x:v>3.4627100165006368</x:v>
      </x:c>
      <x:c r="I30" s="31">
        <x:f t="shared" si="7"/>
        <x:v>3.4419337564017383</x:v>
      </x:c>
      <x:c r="J30" s="31">
        <x:f t="shared" si="7"/>
        <x:v>3.4212821538632738</x:v>
      </x:c>
      <x:c r="K30" s="31">
        <x:f t="shared" si="7"/>
        <x:v>3.4007544609401066</x:v>
      </x:c>
      <x:c r="L30" s="31">
        <x:f t="shared" si="7"/>
        <x:v>3.3803499341744327</x:v>
      </x:c>
      <x:c r="M30" s="31">
        <x:f t="shared" si="7"/>
        <x:v>3.3600678345694632</x:v>
      </x:c>
      <x:c r="N30" s="31">
        <x:f t="shared" si="7"/>
        <x:v>3.3399074275619967</x:v>
      </x:c>
    </x:row>
    <x:row r="31" ht="13.5" customHeight="1">
      <x:c r="B31" s="19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 ht="13.5" customHeight="1">
      <x:c r="B32" s="66" t="s">
        <x:v>366</x:v>
      </x:c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8"/>
    </x:row>
    <x:row r="33" ht="13.5" customHeight="1">
      <x:c r="B33" s="19" t="s">
        <x:v>296</x:v>
      </x:c>
      <x:c r="C33" s="21" t="n">
        <x:f>Revenue!C$56</x:f>
        <x:v>600</x:v>
      </x:c>
      <x:c r="D33" s="21" t="n">
        <x:f>Revenue!D$56</x:f>
        <x:v>1051.1100000000001</x:v>
      </x:c>
      <x:c r="E33" s="21" t="n">
        <x:f>Revenue!E$56</x:f>
        <x:v>1489.3383399999998</x:v>
      </x:c>
      <x:c r="F33" s="21" t="n">
        <x:f>Revenue!F$56</x:f>
        <x:v>1926.0489273835828</x:v>
      </x:c>
      <x:c r="G33" s="21" t="n">
        <x:f>Revenue!G$56</x:f>
        <x:v>2371.3229871472704</x:v>
      </x:c>
      <x:c r="H33" s="21" t="n">
        <x:f>Revenue!H$56</x:f>
        <x:v>2820.5506571524984</x:v>
      </x:c>
      <x:c r="I33" s="21" t="n">
        <x:f>Revenue!I$56</x:f>
        <x:v>3269.14802637059</x:v>
      </x:c>
      <x:c r="J33" s="21" t="n">
        <x:f>Revenue!J$56</x:f>
        <x:v>3712.556978536083</x:v>
      </x:c>
      <x:c r="K33" s="21" t="n">
        <x:f>Revenue!K$56</x:f>
        <x:v>4146.245036737904</x:v>
      </x:c>
      <x:c r="L33" s="21" t="n">
        <x:f>Revenue!L$56</x:f>
        <x:v>4565.705208942745</x:v>
      </x:c>
      <x:c r="M33" s="21" t="n">
        <x:f>Revenue!M$56</x:f>
        <x:v>4966.4558344450725</x:v>
      </x:c>
      <x:c r="N33" s="21" t="n">
        <x:f>Revenue!N$56</x:f>
        <x:v>5344.040431238184</x:v>
      </x:c>
    </x:row>
    <x:row r="34" ht="13.5" customHeight="1">
      <x:c r="B34" s="19" t="s">
        <x:v>27</x:v>
      </x:c>
      <x:c r="C34" s="21" t="n">
        <x:f>Revenue!C$55</x:f>
        <x:v>1078.67482</x:v>
      </x:c>
      <x:c r="D34" s="21" t="n">
        <x:f>Revenue!D$55</x:f>
        <x:v>1105.1081909067204</x:v>
      </x:c>
      <x:c r="E34" s="21" t="n">
        <x:f>Revenue!E$55</x:f>
        <x:v>1145.7932536183932</x:v>
      </x:c>
      <x:c r="F34" s="21" t="n">
        <x:f>Revenue!F$55</x:f>
        <x:v>1200.5580453713944</x:v>
      </x:c>
      <x:c r="G34" s="21" t="n">
        <x:f>Revenue!G$55</x:f>
        <x:v>1254.9956831455509</x:v>
      </x:c>
      <x:c r="H34" s="21" t="n">
        <x:f>Revenue!H$55</x:f>
        <x:v>1309.1081304023442</x:v>
      </x:c>
      <x:c r="I34" s="21" t="n">
        <x:f>Revenue!I$55</x:f>
        <x:v>1362.8973388226887</x:v>
      </x:c>
      <x:c r="J34" s="21" t="n">
        <x:f>Revenue!J$55</x:f>
        <x:v>1416.3652483776154</x:v>
      </x:c>
      <x:c r="K34" s="21" t="n">
        <x:f>Revenue!K$55</x:f>
        <x:v>1469.5137873985307</x:v>
      </x:c>
      <x:c r="L34" s="21" t="n">
        <x:f>Revenue!L$55</x:f>
        <x:v>1522.3448726470529</x:v>
      </x:c>
      <x:c r="M34" s="21" t="n">
        <x:f>Revenue!M$55</x:f>
        <x:v>1574.860409384434</x:v>
      </x:c>
      <x:c r="N34" s="21" t="n">
        <x:f>Revenue!N$55</x:f>
        <x:v>1627.062291440559</x:v>
      </x:c>
    </x:row>
    <x:row r="35" ht="13.5" customHeight="1">
      <x:c r="B35" s="19" t="s">
        <x:v>367</x:v>
      </x:c>
      <x:c r="C35" s="21" t="n">
        <x:f>Revenue!C$48</x:f>
        <x:v>627.5648199999999</x:v>
      </x:c>
      <x:c r="D35" s="21" t="n">
        <x:f>Revenue!D$48</x:f>
        <x:v>666.8798509067204</x:v>
      </x:c>
      <x:c r="E35" s="21" t="n">
        <x:f>Revenue!E$48</x:f>
        <x:v>709.0826662348098</x:v>
      </x:c>
      <x:c r="F35" s="21" t="n">
        <x:f>Revenue!F$48</x:f>
        <x:v>755.2839856077072</x:v>
      </x:c>
      <x:c r="G35" s="21" t="n">
        <x:f>Revenue!G$48</x:f>
        <x:v>805.7680131403232</x:v>
      </x:c>
      <x:c r="H35" s="21" t="n">
        <x:f>Revenue!H$48</x:f>
        <x:v>860.5107611842532</x:v>
      </x:c>
      <x:c r="I35" s="21" t="n">
        <x:f>Revenue!I$48</x:f>
        <x:v>919.4883866571955</x:v>
      </x:c>
      <x:c r="J35" s="21" t="n">
        <x:f>Revenue!J$48</x:f>
        <x:v>982.6771901757951</x:v>
      </x:c>
      <x:c r="K35" s="21" t="n">
        <x:f>Revenue!K$48</x:f>
        <x:v>1050.0536151936892</x:v>
      </x:c>
      <x:c r="L35" s="21" t="n">
        <x:f>Revenue!L$48</x:f>
        <x:v>1121.5942471447256</x:v>
      </x:c>
      <x:c r="M35" s="21" t="n">
        <x:f>Revenue!M$48</x:f>
        <x:v>1197.2758125913224</x:v>
      </x:c>
      <x:c r="N35" s="21" t="n">
        <x:f>Revenue!N$48</x:f>
        <x:v>1277.0751783779358</x:v>
      </x:c>
    </x:row>
    <x:row r="36" ht="13.5" customHeight="1">
      <x:c r="B36" s="19" t="s">
        <x:v>299</x:v>
      </x:c>
      <x:c r="C36" s="21" t="n">
        <x:f>Revenue!C$59</x:f>
        <x:v>1051.1100000000001</x:v>
      </x:c>
      <x:c r="D36" s="21" t="n">
        <x:f>Revenue!D$59</x:f>
        <x:v>1489.3383399999998</x:v>
      </x:c>
      <x:c r="E36" s="21" t="n">
        <x:f>Revenue!E$59</x:f>
        <x:v>1926.0489273835828</x:v>
      </x:c>
      <x:c r="F36" s="21" t="n">
        <x:f>Revenue!F$59</x:f>
        <x:v>2371.3229871472704</x:v>
      </x:c>
      <x:c r="G36" s="21" t="n">
        <x:f>Revenue!G$59</x:f>
        <x:v>2820.5506571524984</x:v>
      </x:c>
      <x:c r="H36" s="21" t="n">
        <x:f>Revenue!H$59</x:f>
        <x:v>3269.14802637059</x:v>
      </x:c>
      <x:c r="I36" s="21" t="n">
        <x:f>Revenue!I$59</x:f>
        <x:v>3712.556978536083</x:v>
      </x:c>
      <x:c r="J36" s="21" t="n">
        <x:f>Revenue!J$59</x:f>
        <x:v>4146.245036737904</x:v>
      </x:c>
      <x:c r="K36" s="21" t="n">
        <x:f>Revenue!K$59</x:f>
        <x:v>4565.705208942745</x:v>
      </x:c>
      <x:c r="L36" s="21" t="n">
        <x:f>Revenue!L$59</x:f>
        <x:v>4966.4558344450725</x:v>
      </x:c>
      <x:c r="M36" s="21" t="n">
        <x:f>Revenue!M$59</x:f>
        <x:v>5344.040431238184</x:v>
      </x:c>
      <x:c r="N36" s="21" t="n">
        <x:f>Revenue!N$59</x:f>
        <x:v>5694.027544300807</x:v>
      </x:c>
    </x:row>
    <x:row r="37" ht="13.5" customHeight="1">
      <x:c r="B37" s="19" t="s">
        <x:v>368</x:v>
      </x:c>
      <x:c r="C37" s="31" t="n">
        <x:f t="shared" ref="C37:N37" si="8">C36-C33</x:f>
        <x:v>451.1100000000001</x:v>
      </x:c>
      <x:c r="D37" s="31">
        <x:f t="shared" si="8"/>
        <x:v>438.22833999999966</x:v>
      </x:c>
      <x:c r="E37" s="31">
        <x:f t="shared" si="8"/>
        <x:v>436.71058738358306</x:v>
      </x:c>
      <x:c r="F37" s="31">
        <x:f t="shared" si="8"/>
        <x:v>445.27405976368755</x:v>
      </x:c>
      <x:c r="G37" s="31">
        <x:f t="shared" si="8"/>
        <x:v>449.22767000522799</x:v>
      </x:c>
      <x:c r="H37" s="31">
        <x:f t="shared" si="8"/>
        <x:v>448.59736921809144</x:v>
      </x:c>
      <x:c r="I37" s="31">
        <x:f t="shared" si="8"/>
        <x:v>443.40895216549325</x:v>
      </x:c>
      <x:c r="J37" s="31">
        <x:f t="shared" si="8"/>
        <x:v>433.68805820182115</x:v>
      </x:c>
      <x:c r="K37" s="31">
        <x:f t="shared" si="8"/>
        <x:v>419.460172204841</x:v>
      </x:c>
      <x:c r="L37" s="31">
        <x:f t="shared" si="8"/>
        <x:v>400.75062550232724</x:v>
      </x:c>
      <x:c r="M37" s="31">
        <x:f t="shared" si="8"/>
        <x:v>377.58459679311181</x:v>
      </x:c>
      <x:c r="N37" s="31">
        <x:f t="shared" si="8"/>
        <x:v>349.98711306262248</x:v>
      </x:c>
    </x:row>
    <x:row r="38" ht="13.5" customHeight="1">
      <x:c r="B38" s="19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 ht="13.5" customHeight="1">
      <x:c r="B39" s="66" t="s">
        <x:v>369</x:v>
      </x:c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8"/>
    </x:row>
    <x:row r="40" ht="13.5" customHeight="1">
      <x:c r="B40" s="19" t="s">
        <x:v>370</x:v>
      </x:c>
      <x:c r="C40" s="31" t="n">
        <x:f t="shared" ref="C40:N40" si="9">C11+C23-C17-C29-C36</x:f>
        <x:v>-333.18779368421076</x:v>
      </x:c>
      <x:c r="D40" s="31">
        <x:f t="shared" si="9"/>
        <x:v>-724.14924833203509</x:v>
      </x:c>
      <x:c r="E40" s="31">
        <x:f t="shared" si="9"/>
        <x:v>-1110.0269374837912</x:v>
      </x:c>
      <x:c r="F40" s="31">
        <x:f t="shared" si="9"/>
        <x:v>-1499.4527371433862</x:v>
      </x:c>
      <x:c r="G40" s="31">
        <x:f t="shared" si="9"/>
        <x:v>-1887.2273459272567</x:v>
      </x:c>
      <x:c r="H40" s="31">
        <x:f t="shared" si="9"/>
        <x:v>-2268.7982559363913</x:v>
      </x:c>
      <x:c r="I40" s="31">
        <x:f t="shared" si="9"/>
        <x:v>-2639.6385647822563</x:v>
      </x:c>
      <x:c r="J40" s="31">
        <x:f t="shared" si="9"/>
        <x:v>-2995.2468213131697</x:v>
      </x:c>
      <x:c r="K40" s="31">
        <x:f t="shared" si="9"/>
        <x:v>-3331.1468722660729</x:v>
      </x:c>
      <x:c r="L40" s="31">
        <x:f t="shared" si="9"/>
        <x:v>-3642.8877098381618</x:v>
      </x:c>
      <x:c r="M40" s="31">
        <x:f t="shared" si="9"/>
        <x:v>-3926.0433201728356</x:v>
      </x:c>
      <x:c r="N40" s="31">
        <x:f t="shared" si="9"/>
        <x:v>-4176.2125327544954</x:v>
      </x:c>
    </x:row>
    <x:row r="41" ht="13.5" customHeight="1">
      <x:c r="B41" s="19" t="s">
        <x:v>371</x:v>
      </x:c>
      <x:c r="C41" s="21" t="n">
        <x:f>C40-(Assumptions!$F$52+Assumptions!$F$53-Assumptions!$F$56-Assumptions!$F$57-Assumptions!$F$58)</x:f>
        <x:v>-203.18779368421076</x:v>
      </x:c>
      <x:c r="D41" s="31" t="n">
        <x:f t="shared" ref="D41:N41" si="10">D40-C40</x:f>
        <x:v>-390.9614546478243</x:v>
      </x:c>
      <x:c r="E41" s="31">
        <x:f t="shared" si="10"/>
        <x:v>-385.87768915175616</x:v>
      </x:c>
      <x:c r="F41" s="31">
        <x:f t="shared" si="10"/>
        <x:v>-389.42579965959499</x:v>
      </x:c>
      <x:c r="G41" s="31">
        <x:f t="shared" si="10"/>
        <x:v>-387.77460878387046</x:v>
      </x:c>
      <x:c r="H41" s="31">
        <x:f t="shared" si="10"/>
        <x:v>-381.57091000913465</x:v>
      </x:c>
      <x:c r="I41" s="31">
        <x:f t="shared" si="10"/>
        <x:v>-370.84030884586491</x:v>
      </x:c>
      <x:c r="J41" s="31">
        <x:f t="shared" si="10"/>
        <x:v>-355.60825653091342</x:v>
      </x:c>
      <x:c r="K41" s="31">
        <x:f t="shared" si="10"/>
        <x:v>-335.90005095290326</x:v>
      </x:c>
      <x:c r="L41" s="31">
        <x:f t="shared" si="10"/>
        <x:v>-311.74083757208882</x:v>
      </x:c>
      <x:c r="M41" s="31">
        <x:f t="shared" si="10"/>
        <x:v>-283.15561033467384</x:v>
      </x:c>
      <x:c r="N41" s="31">
        <x:f t="shared" si="10"/>
        <x:v>-250.16921258165985</x:v>
      </x:c>
    </x:row>
    <x:row r="42" ht="13.5" customHeight="1">
      <x:c r="B42" s="22" t="s">
        <x:v>372</x:v>
      </x:c>
      <x:c r="C42" s="23" t="n">
        <x:f t="shared" ref="C42:N42" si="11">-C12-C24+C18+C30+C37</x:f>
        <x:v>203.18779368421073</x:v>
      </x:c>
      <x:c r="D42" s="23">
        <x:f t="shared" si="11"/>
        <x:v>390.96145464782427</x:v>
      </x:c>
      <x:c r="E42" s="23">
        <x:f t="shared" si="11"/>
        <x:v>385.87768915175616</x:v>
      </x:c>
      <x:c r="F42" s="23">
        <x:f t="shared" si="11"/>
        <x:v>389.4257996595951</x:v>
      </x:c>
      <x:c r="G42" s="23">
        <x:f t="shared" si="11"/>
        <x:v>387.77460878387035</x:v>
      </x:c>
      <x:c r="H42" s="23">
        <x:f t="shared" si="11"/>
        <x:v>381.57091000913476</x:v>
      </x:c>
      <x:c r="I42" s="23">
        <x:f t="shared" si="11"/>
        <x:v>370.84030884586497</x:v>
      </x:c>
      <x:c r="J42" s="23">
        <x:f t="shared" si="11"/>
        <x:v>355.60825653091342</x:v>
      </x:c>
      <x:c r="K42" s="23">
        <x:f t="shared" si="11"/>
        <x:v>335.90005095290326</x:v>
      </x:c>
      <x:c r="L42" s="23">
        <x:f t="shared" si="11"/>
        <x:v>311.74083757208905</x:v>
      </x:c>
      <x:c r="M42" s="23">
        <x:f t="shared" si="11"/>
        <x:v>283.15561033467384</x:v>
      </x:c>
      <x:c r="N42" s="23">
        <x:f t="shared" si="11"/>
        <x:v>250.16921258165965</x:v>
      </x:c>
    </x:row>
    <x:row r="43" ht="13.5" customHeight="1">
      <x:c r="B43" s="19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</x:row>
    <x:row r="44" ht="13.5" customHeight="1">
      <x:c r="B44" s="19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</x:row>
    <x:row r="45" ht="13.5" customHeight="1">
      <x:c r="B45" s="19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</x:row>
    <x:row r="46" ht="13.5" customHeight="1">
      <x:c r="B46" s="19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</x:row>
    <x:row r="47" ht="13.5" customHeight="1"/>
    <x:row r="48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26:N26"/>
    <x:mergeCell ref="B32:N32"/>
    <x:mergeCell ref="B39:N39"/>
    <x:mergeCell ref="B2:N3"/>
    <x:mergeCell ref="B4:N4"/>
    <x:mergeCell ref="B8:N8"/>
    <x:mergeCell ref="B14:N14"/>
    <x:mergeCell ref="B20:N2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373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374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5" ht="13.5" customHeight="1"/>
    <x:row r="6" ht="13.5" customHeight="1">
      <x:c r="B6" s="50" t="s">
        <x:v>211</x:v>
      </x:c>
      <x:c r="C6" s="18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66" t="s">
        <x:v>375</x:v>
      </x:c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8"/>
    </x:row>
    <x:row r="9" ht="13.5" customHeight="1">
      <x:c r="B9" s="19" t="s">
        <x:v>376</x:v>
      </x:c>
      <x:c r="C9" s="21" t="n">
        <x:f>Assumptions!$F$54</x:f>
        <x:v>1200</x:v>
      </x:c>
      <x:c r="D9" s="31" t="n">
        <x:f t="shared" ref="D9:N9" si="0">C12</x:f>
        <x:v>1280</x:v>
      </x:c>
      <x:c r="E9" s="31">
        <x:f t="shared" si="0"/>
        <x:v>1360</x:v>
      </x:c>
      <x:c r="F9" s="31">
        <x:f t="shared" si="0"/>
        <x:v>1440</x:v>
      </x:c>
      <x:c r="G9" s="31">
        <x:f t="shared" si="0"/>
        <x:v>1520</x:v>
      </x:c>
      <x:c r="H9" s="31">
        <x:f t="shared" si="0"/>
        <x:v>1600</x:v>
      </x:c>
      <x:c r="I9" s="31">
        <x:f t="shared" si="0"/>
        <x:v>1680</x:v>
      </x:c>
      <x:c r="J9" s="31">
        <x:f t="shared" si="0"/>
        <x:v>1760</x:v>
      </x:c>
      <x:c r="K9" s="31">
        <x:f t="shared" si="0"/>
        <x:v>1840</x:v>
      </x:c>
      <x:c r="L9" s="31">
        <x:f t="shared" si="0"/>
        <x:v>1920</x:v>
      </x:c>
      <x:c r="M9" s="31">
        <x:f t="shared" si="0"/>
        <x:v>2000</x:v>
      </x:c>
      <x:c r="N9" s="31">
        <x:f t="shared" si="0"/>
        <x:v>2080</x:v>
      </x:c>
    </x:row>
    <x:row r="10" ht="13.5" customHeight="1">
      <x:c r="B10" s="19" t="s">
        <x:v>377</x:v>
      </x:c>
      <x:c r="C10" s="21" t="n">
        <x:f>Assumptions!$F$44</x:f>
        <x:v>80</x:v>
      </x:c>
      <x:c r="D10" s="21" t="n">
        <x:f>Assumptions!$F$44</x:f>
        <x:v>80</x:v>
      </x:c>
      <x:c r="E10" s="21" t="n">
        <x:f>Assumptions!$F$44</x:f>
        <x:v>80</x:v>
      </x:c>
      <x:c r="F10" s="21" t="n">
        <x:f>Assumptions!$F$44</x:f>
        <x:v>80</x:v>
      </x:c>
      <x:c r="G10" s="21" t="n">
        <x:f>Assumptions!$F$44</x:f>
        <x:v>80</x:v>
      </x:c>
      <x:c r="H10" s="21" t="n">
        <x:f>Assumptions!$F$44</x:f>
        <x:v>80</x:v>
      </x:c>
      <x:c r="I10" s="21" t="n">
        <x:f>Assumptions!$F$44</x:f>
        <x:v>80</x:v>
      </x:c>
      <x:c r="J10" s="21" t="n">
        <x:f>Assumptions!$F$44</x:f>
        <x:v>80</x:v>
      </x:c>
      <x:c r="K10" s="21" t="n">
        <x:f>Assumptions!$F$44</x:f>
        <x:v>80</x:v>
      </x:c>
      <x:c r="L10" s="21" t="n">
        <x:f>Assumptions!$F$44</x:f>
        <x:v>80</x:v>
      </x:c>
      <x:c r="M10" s="21" t="n">
        <x:f>Assumptions!$F$44</x:f>
        <x:v>80</x:v>
      </x:c>
      <x:c r="N10" s="21" t="n">
        <x:f>Assumptions!$F$44</x:f>
        <x:v>80</x:v>
      </x:c>
    </x:row>
    <x:row r="11" ht="13.5" customHeight="1">
      <x:c r="B11" s="19" t="s">
        <x:v>378</x:v>
      </x:c>
      <x:c r="C11" s="35">
        <x:v>0</x:v>
      </x:c>
      <x:c r="D11" s="35">
        <x:v>0</x:v>
      </x:c>
      <x:c r="E11" s="35">
        <x:v>0</x:v>
      </x:c>
      <x:c r="F11" s="35">
        <x:v>0</x:v>
      </x:c>
      <x:c r="G11" s="35">
        <x:v>0</x:v>
      </x:c>
      <x:c r="H11" s="35">
        <x:v>0</x:v>
      </x:c>
      <x:c r="I11" s="35">
        <x:v>0</x:v>
      </x:c>
      <x:c r="J11" s="35">
        <x:v>0</x:v>
      </x:c>
      <x:c r="K11" s="35">
        <x:v>0</x:v>
      </x:c>
      <x:c r="L11" s="35">
        <x:v>0</x:v>
      </x:c>
      <x:c r="M11" s="35">
        <x:v>0</x:v>
      </x:c>
      <x:c r="N11" s="35">
        <x:v>0</x:v>
      </x:c>
    </x:row>
    <x:row r="12" ht="13.5" customHeight="1">
      <x:c r="B12" s="19" t="s">
        <x:v>379</x:v>
      </x:c>
      <x:c r="C12" s="31" t="n">
        <x:f t="shared" ref="C12:N12" si="1">C9+C10-C11</x:f>
        <x:v>1280</x:v>
      </x:c>
      <x:c r="D12" s="31">
        <x:f t="shared" si="1"/>
        <x:v>1360</x:v>
      </x:c>
      <x:c r="E12" s="31">
        <x:f t="shared" si="1"/>
        <x:v>1440</x:v>
      </x:c>
      <x:c r="F12" s="31">
        <x:f t="shared" si="1"/>
        <x:v>1520</x:v>
      </x:c>
      <x:c r="G12" s="31">
        <x:f t="shared" si="1"/>
        <x:v>1600</x:v>
      </x:c>
      <x:c r="H12" s="31">
        <x:f t="shared" si="1"/>
        <x:v>1680</x:v>
      </x:c>
      <x:c r="I12" s="31">
        <x:f t="shared" si="1"/>
        <x:v>1760</x:v>
      </x:c>
      <x:c r="J12" s="31">
        <x:f t="shared" si="1"/>
        <x:v>1840</x:v>
      </x:c>
      <x:c r="K12" s="31">
        <x:f t="shared" si="1"/>
        <x:v>1920</x:v>
      </x:c>
      <x:c r="L12" s="31">
        <x:f t="shared" si="1"/>
        <x:v>2000</x:v>
      </x:c>
      <x:c r="M12" s="31">
        <x:f t="shared" si="1"/>
        <x:v>2080</x:v>
      </x:c>
      <x:c r="N12" s="31">
        <x:f t="shared" si="1"/>
        <x:v>2160</x:v>
      </x:c>
    </x:row>
    <x:row r="13" ht="13.5" customHeight="1">
      <x:c r="B13" s="19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</x:row>
    <x:row r="14" ht="13.5" customHeight="1">
      <x:c r="B14" s="66" t="s">
        <x:v>380</x:v>
      </x:c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8"/>
    </x:row>
    <x:row r="15" ht="13.5" customHeight="1">
      <x:c r="B15" s="19" t="s">
        <x:v>381</x:v>
      </x:c>
      <x:c r="C15" s="21" t="n">
        <x:f>Assumptions!$F$55</x:f>
        <x:v>300</x:v>
      </x:c>
      <x:c r="D15" s="31" t="n">
        <x:f t="shared" ref="D15:N15" si="2">C18</x:f>
        <x:v>327.22222222222223</x:v>
      </x:c>
      <x:c r="E15" s="31">
        <x:f t="shared" si="2"/>
        <x:v>356.66666666666669</x:v>
      </x:c>
      <x:c r="F15" s="31">
        <x:f t="shared" si="2"/>
        <x:v>388.33333333333337</x:v>
      </x:c>
      <x:c r="G15" s="31">
        <x:f t="shared" si="2"/>
        <x:v>422.22222222222229</x:v>
      </x:c>
      <x:c r="H15" s="31">
        <x:f t="shared" si="2"/>
        <x:v>458.33333333333337</x:v>
      </x:c>
      <x:c r="I15" s="31">
        <x:f t="shared" si="2"/>
        <x:v>496.66666666666669</x:v>
      </x:c>
      <x:c r="J15" s="31">
        <x:f t="shared" si="2"/>
        <x:v>537.22222222222229</x:v>
      </x:c>
      <x:c r="K15" s="31">
        <x:f t="shared" si="2"/>
        <x:v>580.00000000000011</x:v>
      </x:c>
      <x:c r="L15" s="31">
        <x:f t="shared" si="2"/>
        <x:v>625.00000000000011</x:v>
      </x:c>
      <x:c r="M15" s="31">
        <x:f t="shared" si="2"/>
        <x:v>672.22222222222229</x:v>
      </x:c>
      <x:c r="N15" s="31">
        <x:f t="shared" si="2"/>
        <x:v>721.66666666666674</x:v>
      </x:c>
    </x:row>
    <x:row r="16" ht="13.5" customHeight="1">
      <x:c r="B16" s="19" t="s">
        <x:v>144</x:v>
      </x:c>
      <x:c r="C16" s="25" t="n">
        <x:f>Assumptions!$F$45</x:f>
        <x:v>36</x:v>
      </x:c>
      <x:c r="D16" s="25" t="n">
        <x:f>Assumptions!$F$45</x:f>
        <x:v>36</x:v>
      </x:c>
      <x:c r="E16" s="25" t="n">
        <x:f>Assumptions!$F$45</x:f>
        <x:v>36</x:v>
      </x:c>
      <x:c r="F16" s="25" t="n">
        <x:f>Assumptions!$F$45</x:f>
        <x:v>36</x:v>
      </x:c>
      <x:c r="G16" s="25" t="n">
        <x:f>Assumptions!$F$45</x:f>
        <x:v>36</x:v>
      </x:c>
      <x:c r="H16" s="25" t="n">
        <x:f>Assumptions!$F$45</x:f>
        <x:v>36</x:v>
      </x:c>
      <x:c r="I16" s="25" t="n">
        <x:f>Assumptions!$F$45</x:f>
        <x:v>36</x:v>
      </x:c>
      <x:c r="J16" s="25" t="n">
        <x:f>Assumptions!$F$45</x:f>
        <x:v>36</x:v>
      </x:c>
      <x:c r="K16" s="25" t="n">
        <x:f>Assumptions!$F$45</x:f>
        <x:v>36</x:v>
      </x:c>
      <x:c r="L16" s="25" t="n">
        <x:f>Assumptions!$F$45</x:f>
        <x:v>36</x:v>
      </x:c>
      <x:c r="M16" s="25" t="n">
        <x:f>Assumptions!$F$45</x:f>
        <x:v>36</x:v>
      </x:c>
      <x:c r="N16" s="25" t="n">
        <x:f>Assumptions!$F$45</x:f>
        <x:v>36</x:v>
      </x:c>
    </x:row>
    <x:row r="17" ht="13.5" customHeight="1">
      <x:c r="B17" s="19" t="s">
        <x:v>382</x:v>
      </x:c>
      <x:c r="C17" s="21" t="n">
        <x:f>(Assumptions!$F$54-Assumptions!$F$55)/C16+SUM($C$10:C$10)/C16</x:f>
        <x:v>27.22222222222222</x:v>
      </x:c>
      <x:c r="D17" s="21" t="n">
        <x:f>(Assumptions!$F$54-Assumptions!$F$55)/D16+SUM($C$10:D$10)/D16</x:f>
        <x:v>29.444444444444443</x:v>
      </x:c>
      <x:c r="E17" s="21" t="n">
        <x:f>(Assumptions!$F$54-Assumptions!$F$55)/E16+SUM($C$10:E$10)/E16</x:f>
        <x:v>31.666666666666668</x:v>
      </x:c>
      <x:c r="F17" s="21" t="n">
        <x:f>(Assumptions!$F$54-Assumptions!$F$55)/F16+SUM($C$10:F$10)/F16</x:f>
        <x:v>33.888888888888886</x:v>
      </x:c>
      <x:c r="G17" s="21" t="n">
        <x:f>(Assumptions!$F$54-Assumptions!$F$55)/G16+SUM($C$10:G$10)/G16</x:f>
        <x:v>36.111111111111114</x:v>
      </x:c>
      <x:c r="H17" s="21" t="n">
        <x:f>(Assumptions!$F$54-Assumptions!$F$55)/H16+SUM($C$10:H$10)/H16</x:f>
        <x:v>38.333333333333336</x:v>
      </x:c>
      <x:c r="I17" s="21" t="n">
        <x:f>(Assumptions!$F$54-Assumptions!$F$55)/I16+SUM($C$10:I$10)/I16</x:f>
        <x:v>40.55555555555556</x:v>
      </x:c>
      <x:c r="J17" s="21" t="n">
        <x:f>(Assumptions!$F$54-Assumptions!$F$55)/J16+SUM($C$10:J$10)/J16</x:f>
        <x:v>42.77777777777778</x:v>
      </x:c>
      <x:c r="K17" s="21" t="n">
        <x:f>(Assumptions!$F$54-Assumptions!$F$55)/K16+SUM($C$10:K$10)/K16</x:f>
        <x:v>45</x:v>
      </x:c>
      <x:c r="L17" s="21" t="n">
        <x:f>(Assumptions!$F$54-Assumptions!$F$55)/L16+SUM($C$10:L$10)/L16</x:f>
        <x:v>47.22222222222222</x:v>
      </x:c>
      <x:c r="M17" s="21" t="n">
        <x:f>(Assumptions!$F$54-Assumptions!$F$55)/M16+SUM($C$10:M$10)/M16</x:f>
        <x:v>49.44444444444444</x:v>
      </x:c>
      <x:c r="N17" s="21" t="n">
        <x:f>(Assumptions!$F$54-Assumptions!$F$55)/N16+SUM($C$10:N$10)/N16</x:f>
        <x:v>51.66666666666667</x:v>
      </x:c>
    </x:row>
    <x:row r="18" ht="13.5" customHeight="1">
      <x:c r="B18" s="19" t="s">
        <x:v>383</x:v>
      </x:c>
      <x:c r="C18" s="31" t="n">
        <x:f t="shared" ref="C18:N18" si="3">C15+C17</x:f>
        <x:v>327.22222222222223</x:v>
      </x:c>
      <x:c r="D18" s="31">
        <x:f t="shared" si="3"/>
        <x:v>356.66666666666669</x:v>
      </x:c>
      <x:c r="E18" s="31">
        <x:f t="shared" si="3"/>
        <x:v>388.33333333333337</x:v>
      </x:c>
      <x:c r="F18" s="31">
        <x:f t="shared" si="3"/>
        <x:v>422.22222222222229</x:v>
      </x:c>
      <x:c r="G18" s="31">
        <x:f t="shared" si="3"/>
        <x:v>458.33333333333337</x:v>
      </x:c>
      <x:c r="H18" s="31">
        <x:f t="shared" si="3"/>
        <x:v>496.66666666666669</x:v>
      </x:c>
      <x:c r="I18" s="31">
        <x:f t="shared" si="3"/>
        <x:v>537.22222222222229</x:v>
      </x:c>
      <x:c r="J18" s="31">
        <x:f t="shared" si="3"/>
        <x:v>580.00000000000011</x:v>
      </x:c>
      <x:c r="K18" s="31">
        <x:f t="shared" si="3"/>
        <x:v>625.00000000000011</x:v>
      </x:c>
      <x:c r="L18" s="31">
        <x:f t="shared" si="3"/>
        <x:v>672.22222222222229</x:v>
      </x:c>
      <x:c r="M18" s="31">
        <x:f t="shared" si="3"/>
        <x:v>721.66666666666674</x:v>
      </x:c>
      <x:c r="N18" s="31">
        <x:f t="shared" si="3"/>
        <x:v>773.33333333333337</x:v>
      </x:c>
    </x:row>
    <x:row r="19" ht="13.5" customHeight="1">
      <x:c r="B19" s="22" t="s">
        <x:v>384</x:v>
      </x:c>
      <x:c r="C19" s="23" t="n">
        <x:f t="shared" ref="C19:N19" si="4">C12-C18</x:f>
        <x:v>952.7777777777778</x:v>
      </x:c>
      <x:c r="D19" s="23">
        <x:f t="shared" si="4"/>
        <x:v>1003.3333333333333</x:v>
      </x:c>
      <x:c r="E19" s="23">
        <x:f t="shared" si="4"/>
        <x:v>1051.6666666666665</x:v>
      </x:c>
      <x:c r="F19" s="23">
        <x:f t="shared" si="4"/>
        <x:v>1097.7777777777778</x:v>
      </x:c>
      <x:c r="G19" s="23">
        <x:f t="shared" si="4"/>
        <x:v>1141.6666666666665</x:v>
      </x:c>
      <x:c r="H19" s="23">
        <x:f t="shared" si="4"/>
        <x:v>1183.3333333333333</x:v>
      </x:c>
      <x:c r="I19" s="23">
        <x:f t="shared" si="4"/>
        <x:v>1222.7777777777778</x:v>
      </x:c>
      <x:c r="J19" s="23">
        <x:f t="shared" si="4"/>
        <x:v>1260</x:v>
      </x:c>
      <x:c r="K19" s="23">
        <x:f t="shared" si="4"/>
        <x:v>1295</x:v>
      </x:c>
      <x:c r="L19" s="23">
        <x:f t="shared" si="4"/>
        <x:v>1327.7777777777778</x:v>
      </x:c>
      <x:c r="M19" s="23">
        <x:f t="shared" si="4"/>
        <x:v>1358.3333333333333</x:v>
      </x:c>
      <x:c r="N19" s="23">
        <x:f t="shared" si="4"/>
        <x:v>1386.6666666666665</x:v>
      </x:c>
    </x:row>
    <x:row r="20" ht="13.5" customHeight="1">
      <x:c r="B20" s="19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 ht="13.5" customHeight="1">
      <x:c r="B21" s="66" t="s">
        <x:v>385</x:v>
      </x:c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8"/>
    </x:row>
    <x:row r="22" ht="13.5" customHeight="1">
      <x:c r="B22" s="19" t="s">
        <x:v>386</x:v>
      </x:c>
      <x:c r="C22" s="21" t="n">
        <x:f>Assumptions!$F$54-Assumptions!$F$55</x:f>
        <x:v>900</x:v>
      </x:c>
      <x:c r="D22" s="31" t="n">
        <x:f t="shared" ref="D22:N22" si="5">C19</x:f>
        <x:v>952.7777777777778</x:v>
      </x:c>
      <x:c r="E22" s="31">
        <x:f t="shared" si="5"/>
        <x:v>1003.3333333333333</x:v>
      </x:c>
      <x:c r="F22" s="31">
        <x:f t="shared" si="5"/>
        <x:v>1051.6666666666665</x:v>
      </x:c>
      <x:c r="G22" s="31">
        <x:f t="shared" si="5"/>
        <x:v>1097.7777777777778</x:v>
      </x:c>
      <x:c r="H22" s="31">
        <x:f t="shared" si="5"/>
        <x:v>1141.6666666666665</x:v>
      </x:c>
      <x:c r="I22" s="31">
        <x:f t="shared" si="5"/>
        <x:v>1183.3333333333333</x:v>
      </x:c>
      <x:c r="J22" s="31">
        <x:f t="shared" si="5"/>
        <x:v>1222.7777777777778</x:v>
      </x:c>
      <x:c r="K22" s="31">
        <x:f t="shared" si="5"/>
        <x:v>1260</x:v>
      </x:c>
      <x:c r="L22" s="31">
        <x:f t="shared" si="5"/>
        <x:v>1295</x:v>
      </x:c>
      <x:c r="M22" s="31">
        <x:f t="shared" si="5"/>
        <x:v>1327.7777777777778</x:v>
      </x:c>
      <x:c r="N22" s="31">
        <x:f t="shared" si="5"/>
        <x:v>1358.3333333333333</x:v>
      </x:c>
    </x:row>
    <x:row r="23" ht="13.5" customHeight="1">
      <x:c r="B23" s="19" t="s">
        <x:v>387</x:v>
      </x:c>
      <x:c r="C23" s="31" t="n">
        <x:f t="shared" ref="C23:N23" si="6">C22+C10-C17</x:f>
        <x:v>952.7777777777778</x:v>
      </x:c>
      <x:c r="D23" s="31">
        <x:f t="shared" si="6"/>
        <x:v>1003.3333333333334</x:v>
      </x:c>
      <x:c r="E23" s="31">
        <x:f t="shared" si="6"/>
        <x:v>1051.6666666666665</x:v>
      </x:c>
      <x:c r="F23" s="31">
        <x:f t="shared" si="6"/>
        <x:v>1097.7777777777776</x:v>
      </x:c>
      <x:c r="G23" s="31">
        <x:f t="shared" si="6"/>
        <x:v>1141.6666666666667</x:v>
      </x:c>
      <x:c r="H23" s="31">
        <x:f t="shared" si="6"/>
        <x:v>1183.3333333333333</x:v>
      </x:c>
      <x:c r="I23" s="31">
        <x:f t="shared" si="6"/>
        <x:v>1222.7777777777776</x:v>
      </x:c>
      <x:c r="J23" s="31">
        <x:f t="shared" si="6"/>
        <x:v>1260</x:v>
      </x:c>
      <x:c r="K23" s="31">
        <x:f t="shared" si="6"/>
        <x:v>1295</x:v>
      </x:c>
      <x:c r="L23" s="31">
        <x:f t="shared" si="6"/>
        <x:v>1327.7777777777778</x:v>
      </x:c>
      <x:c r="M23" s="31">
        <x:f t="shared" si="6"/>
        <x:v>1358.3333333333335</x:v>
      </x:c>
      <x:c r="N23" s="31">
        <x:f t="shared" si="6"/>
        <x:v>1386.6666666666665</x:v>
      </x:c>
    </x:row>
    <x:row r="24" ht="13.5" customHeight="1">
      <x:c r="B24" s="19" t="s">
        <x:v>388</x:v>
      </x:c>
      <x:c r="C24" s="31" t="n">
        <x:f t="shared" ref="C24:N24" si="7">ROUND(C19-C23,2)</x:f>
        <x:v>0</x:v>
      </x:c>
      <x:c r="D24" s="31">
        <x:f t="shared" si="7"/>
        <x:v>0</x:v>
      </x:c>
      <x:c r="E24" s="31">
        <x:f t="shared" si="7"/>
        <x:v>0</x:v>
      </x:c>
      <x:c r="F24" s="31">
        <x:f t="shared" si="7"/>
        <x:v>0</x:v>
      </x:c>
      <x:c r="G24" s="31">
        <x:f t="shared" si="7"/>
        <x:v>0</x:v>
      </x:c>
      <x:c r="H24" s="31">
        <x:f t="shared" si="7"/>
        <x:v>0</x:v>
      </x:c>
      <x:c r="I24" s="31">
        <x:f t="shared" si="7"/>
        <x:v>0</x:v>
      </x:c>
      <x:c r="J24" s="31">
        <x:f t="shared" si="7"/>
        <x:v>0</x:v>
      </x:c>
      <x:c r="K24" s="31">
        <x:f t="shared" si="7"/>
        <x:v>0</x:v>
      </x:c>
      <x:c r="L24" s="31">
        <x:f t="shared" si="7"/>
        <x:v>0</x:v>
      </x:c>
      <x:c r="M24" s="31">
        <x:f t="shared" si="7"/>
        <x:v>0</x:v>
      </x:c>
      <x:c r="N24" s="31">
        <x:f t="shared" si="7"/>
        <x:v>0</x:v>
      </x:c>
    </x:row>
    <x:row r="25" ht="13.5" customHeight="1">
      <x:c r="B25" s="19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 ht="13.5" customHeight="1">
      <x:c r="B26" s="19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 ht="13.5" customHeight="1">
      <x:c r="B27" s="19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 ht="13.5" customHeight="1">
      <x:c r="B28" s="19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 ht="13.5" customHeight="1"/>
    <x:row r="30" ht="13.5" customHeight="1"/>
    <x:row r="31" ht="13.5" customHeight="1"/>
    <x:row r="32" ht="13.5" customHeight="1"/>
    <x:row r="33" s="51" customFormat="1" ht="13.5" customHeight="1"/>
    <x:row r="34" s="51" customFormat="1" ht="13.5" customHeight="1"/>
    <x:row r="35" s="51" customFormat="1" ht="13.5" customHeight="1"/>
    <x:row r="36" s="51" customFormat="1" ht="13.5" customHeight="1"/>
    <x:row r="37" s="51" customFormat="1" ht="13.5" customHeight="1"/>
    <x:row r="38" s="51" customFormat="1" ht="13.5" customHeight="1"/>
    <x:row r="39" s="51" customFormat="1" ht="13.5" customHeight="1"/>
    <x:row r="40" s="51" customFormat="1" ht="13.5" customHeight="1"/>
    <x:row r="41" s="51" customFormat="1" ht="13.5" customHeight="1"/>
    <x:row r="42" s="51" customFormat="1" ht="13.5" customHeight="1"/>
    <x:row r="43" s="51" customFormat="1" ht="13.5" customHeight="1"/>
    <x:row r="44" s="51" customFormat="1" ht="13.5" customHeight="1"/>
    <x:row r="45" s="51" customFormat="1" ht="13.5" customHeight="1"/>
    <x:row r="46" s="51" customFormat="1" ht="13.5" customHeight="1"/>
    <x:row r="47" s="51" customFormat="1" ht="13.5" customHeight="1"/>
    <x:row r="48" s="51" customFormat="1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2:N3"/>
    <x:mergeCell ref="B4:N4"/>
    <x:mergeCell ref="B8:N8"/>
    <x:mergeCell ref="B14:N14"/>
    <x:mergeCell ref="B21:N21"/>
  </x:mergeCells>
  <x:conditionalFormatting sqref="C24:N24">
    <x:cfRule type="containsText" dxfId="2" priority="1" operator="containsText" text="PASS">
      <x:formula>NOT(ISERROR(SEARCH(("PASS"),(C24))))</x:formula>
    </x:cfRule>
    <x:cfRule type="containsText" dxfId="1" priority="2" operator="containsText" text="FAIL">
      <x:formula>NOT(ISERROR(SEARCH(("FAIL"),(C24))))</x:formula>
    </x:cfRule>
    <x:cfRule type="containsText" dxfId="0" priority="3" operator="containsText" text="WATCH">
      <x:formula>NOT(ISERROR(SEARCH(("WATCH"),(C24))))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389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390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5" ht="13.5" customHeight="1"/>
    <x:row r="6" ht="13.5" customHeight="1">
      <x:c r="B6" s="50" t="s">
        <x:v>211</x:v>
      </x:c>
      <x:c r="C6" s="18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66" t="s">
        <x:v>391</x:v>
      </x:c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8"/>
    </x:row>
    <x:row r="9" ht="13.5" customHeight="1">
      <x:c r="B9" s="19" t="s">
        <x:v>392</x:v>
      </x:c>
      <x:c r="C9" s="21" t="n">
        <x:f>Assumptions!$F$59</x:f>
        <x:v>1500</x:v>
      </x:c>
      <x:c r="D9" s="31" t="n">
        <x:f t="shared" ref="D9:N9" si="0">C12</x:f>
        <x:v>1450</x:v>
      </x:c>
      <x:c r="E9" s="31">
        <x:f t="shared" si="0"/>
        <x:v>1400</x:v>
      </x:c>
      <x:c r="F9" s="31">
        <x:f t="shared" si="0"/>
        <x:v>1350</x:v>
      </x:c>
      <x:c r="G9" s="31">
        <x:f t="shared" si="0"/>
        <x:v>1300</x:v>
      </x:c>
      <x:c r="H9" s="31">
        <x:f t="shared" si="0"/>
        <x:v>1250</x:v>
      </x:c>
      <x:c r="I9" s="31">
        <x:f t="shared" si="0"/>
        <x:v>1200</x:v>
      </x:c>
      <x:c r="J9" s="31">
        <x:f t="shared" si="0"/>
        <x:v>1150</x:v>
      </x:c>
      <x:c r="K9" s="31">
        <x:f t="shared" si="0"/>
        <x:v>1100</x:v>
      </x:c>
      <x:c r="L9" s="31">
        <x:f t="shared" si="0"/>
        <x:v>1050</x:v>
      </x:c>
      <x:c r="M9" s="31">
        <x:f t="shared" si="0"/>
        <x:v>1000</x:v>
      </x:c>
      <x:c r="N9" s="31">
        <x:f t="shared" si="0"/>
        <x:v>950</x:v>
      </x:c>
    </x:row>
    <x:row r="10" ht="13.5" customHeight="1">
      <x:c r="B10" s="19" t="s">
        <x:v>264</x:v>
      </x:c>
      <x:c r="C10" s="35">
        <x:v>0</x:v>
      </x:c>
      <x:c r="D10" s="35">
        <x:v>0</x:v>
      </x:c>
      <x:c r="E10" s="35">
        <x:v>0</x:v>
      </x:c>
      <x:c r="F10" s="35">
        <x:v>0</x:v>
      </x:c>
      <x:c r="G10" s="35">
        <x:v>0</x:v>
      </x:c>
      <x:c r="H10" s="35">
        <x:v>0</x:v>
      </x:c>
      <x:c r="I10" s="35">
        <x:v>0</x:v>
      </x:c>
      <x:c r="J10" s="35">
        <x:v>0</x:v>
      </x:c>
      <x:c r="K10" s="35">
        <x:v>0</x:v>
      </x:c>
      <x:c r="L10" s="35">
        <x:v>0</x:v>
      </x:c>
      <x:c r="M10" s="35">
        <x:v>0</x:v>
      </x:c>
      <x:c r="N10" s="35">
        <x:v>0</x:v>
      </x:c>
    </x:row>
    <x:row r="11" ht="13.5" customHeight="1">
      <x:c r="B11" s="19" t="s">
        <x:v>393</x:v>
      </x:c>
      <x:c r="C11" s="21" t="n">
        <x:f>MIN(Assumptions!$F$46,C9+C10)</x:f>
        <x:v>50</x:v>
      </x:c>
      <x:c r="D11" s="21" t="n">
        <x:f>MIN(Assumptions!$F$46,D9+D10)</x:f>
        <x:v>50</x:v>
      </x:c>
      <x:c r="E11" s="21" t="n">
        <x:f>MIN(Assumptions!$F$46,E9+E10)</x:f>
        <x:v>50</x:v>
      </x:c>
      <x:c r="F11" s="21" t="n">
        <x:f>MIN(Assumptions!$F$46,F9+F10)</x:f>
        <x:v>50</x:v>
      </x:c>
      <x:c r="G11" s="21" t="n">
        <x:f>MIN(Assumptions!$F$46,G9+G10)</x:f>
        <x:v>50</x:v>
      </x:c>
      <x:c r="H11" s="21" t="n">
        <x:f>MIN(Assumptions!$F$46,H9+H10)</x:f>
        <x:v>50</x:v>
      </x:c>
      <x:c r="I11" s="21" t="n">
        <x:f>MIN(Assumptions!$F$46,I9+I10)</x:f>
        <x:v>50</x:v>
      </x:c>
      <x:c r="J11" s="21" t="n">
        <x:f>MIN(Assumptions!$F$46,J9+J10)</x:f>
        <x:v>50</x:v>
      </x:c>
      <x:c r="K11" s="21" t="n">
        <x:f>MIN(Assumptions!$F$46,K9+K10)</x:f>
        <x:v>50</x:v>
      </x:c>
      <x:c r="L11" s="21" t="n">
        <x:f>MIN(Assumptions!$F$46,L9+L10)</x:f>
        <x:v>50</x:v>
      </x:c>
      <x:c r="M11" s="21" t="n">
        <x:f>MIN(Assumptions!$F$46,M9+M10)</x:f>
        <x:v>50</x:v>
      </x:c>
      <x:c r="N11" s="21" t="n">
        <x:f>MIN(Assumptions!$F$46,N9+N10)</x:f>
        <x:v>50</x:v>
      </x:c>
    </x:row>
    <x:row r="12" ht="13.5" customHeight="1">
      <x:c r="B12" s="22" t="s">
        <x:v>394</x:v>
      </x:c>
      <x:c r="C12" s="23" t="n">
        <x:f t="shared" ref="C12:N12" si="1">C9+C10-C11</x:f>
        <x:v>1450</x:v>
      </x:c>
      <x:c r="D12" s="23">
        <x:f t="shared" si="1"/>
        <x:v>1400</x:v>
      </x:c>
      <x:c r="E12" s="23">
        <x:f t="shared" si="1"/>
        <x:v>1350</x:v>
      </x:c>
      <x:c r="F12" s="23">
        <x:f t="shared" si="1"/>
        <x:v>1300</x:v>
      </x:c>
      <x:c r="G12" s="23">
        <x:f t="shared" si="1"/>
        <x:v>1250</x:v>
      </x:c>
      <x:c r="H12" s="23">
        <x:f t="shared" si="1"/>
        <x:v>1200</x:v>
      </x:c>
      <x:c r="I12" s="23">
        <x:f t="shared" si="1"/>
        <x:v>1150</x:v>
      </x:c>
      <x:c r="J12" s="23">
        <x:f t="shared" si="1"/>
        <x:v>1100</x:v>
      </x:c>
      <x:c r="K12" s="23">
        <x:f t="shared" si="1"/>
        <x:v>1050</x:v>
      </x:c>
      <x:c r="L12" s="23">
        <x:f t="shared" si="1"/>
        <x:v>1000</x:v>
      </x:c>
      <x:c r="M12" s="23">
        <x:f t="shared" si="1"/>
        <x:v>950</x:v>
      </x:c>
      <x:c r="N12" s="23">
        <x:f t="shared" si="1"/>
        <x:v>900</x:v>
      </x:c>
    </x:row>
    <x:row r="13" ht="13.5" customHeight="1">
      <x:c r="B13" s="19" t="s">
        <x:v>148</x:v>
      </x:c>
      <x:c r="C13" s="29" t="n">
        <x:f>Assumptions!$F$47</x:f>
        <x:v>0.08</x:v>
      </x:c>
      <x:c r="D13" s="29" t="n">
        <x:f>Assumptions!$F$47</x:f>
        <x:v>0.08</x:v>
      </x:c>
      <x:c r="E13" s="29" t="n">
        <x:f>Assumptions!$F$47</x:f>
        <x:v>0.08</x:v>
      </x:c>
      <x:c r="F13" s="29" t="n">
        <x:f>Assumptions!$F$47</x:f>
        <x:v>0.08</x:v>
      </x:c>
      <x:c r="G13" s="29" t="n">
        <x:f>Assumptions!$F$47</x:f>
        <x:v>0.08</x:v>
      </x:c>
      <x:c r="H13" s="29" t="n">
        <x:f>Assumptions!$F$47</x:f>
        <x:v>0.08</x:v>
      </x:c>
      <x:c r="I13" s="29" t="n">
        <x:f>Assumptions!$F$47</x:f>
        <x:v>0.08</x:v>
      </x:c>
      <x:c r="J13" s="29" t="n">
        <x:f>Assumptions!$F$47</x:f>
        <x:v>0.08</x:v>
      </x:c>
      <x:c r="K13" s="29" t="n">
        <x:f>Assumptions!$F$47</x:f>
        <x:v>0.08</x:v>
      </x:c>
      <x:c r="L13" s="29" t="n">
        <x:f>Assumptions!$F$47</x:f>
        <x:v>0.08</x:v>
      </x:c>
      <x:c r="M13" s="29" t="n">
        <x:f>Assumptions!$F$47</x:f>
        <x:v>0.08</x:v>
      </x:c>
      <x:c r="N13" s="29" t="n">
        <x:f>Assumptions!$F$47</x:f>
        <x:v>0.08</x:v>
      </x:c>
    </x:row>
    <x:row r="14" ht="13.5" customHeight="1">
      <x:c r="B14" s="19" t="s">
        <x:v>223</x:v>
      </x:c>
      <x:c r="C14" s="31" t="n">
        <x:f t="shared" ref="C14:N14" si="2">AVERAGE(C9,C12)*C13/12</x:f>
        <x:v>9.833333333333334</x:v>
      </x:c>
      <x:c r="D14" s="31">
        <x:f t="shared" si="2"/>
        <x:v>9.5</x:v>
      </x:c>
      <x:c r="E14" s="31">
        <x:f t="shared" si="2"/>
        <x:v>9.1666666666666661</x:v>
      </x:c>
      <x:c r="F14" s="31">
        <x:f t="shared" si="2"/>
        <x:v>8.8333333333333339</x:v>
      </x:c>
      <x:c r="G14" s="31">
        <x:f t="shared" si="2"/>
        <x:v>8.5</x:v>
      </x:c>
      <x:c r="H14" s="31">
        <x:f t="shared" si="2"/>
        <x:v>8.1666666666666661</x:v>
      </x:c>
      <x:c r="I14" s="31">
        <x:f t="shared" si="2"/>
        <x:v>7.833333333333333</x:v>
      </x:c>
      <x:c r="J14" s="31">
        <x:f t="shared" si="2"/>
        <x:v>7.5</x:v>
      </x:c>
      <x:c r="K14" s="31">
        <x:f t="shared" si="2"/>
        <x:v>7.166666666666667</x:v>
      </x:c>
      <x:c r="L14" s="31">
        <x:f t="shared" si="2"/>
        <x:v>6.833333333333333</x:v>
      </x:c>
      <x:c r="M14" s="31">
        <x:f t="shared" si="2"/>
        <x:v>6.5</x:v>
      </x:c>
      <x:c r="N14" s="31">
        <x:f t="shared" si="2"/>
        <x:v>6.166666666666667</x:v>
      </x:c>
    </x:row>
    <x:row r="15" ht="13.5" customHeight="1">
      <x:c r="B15" s="19" t="s">
        <x:v>395</x:v>
      </x:c>
      <x:c r="C15" s="31" t="n">
        <x:f t="shared" ref="C15:N15" si="3">ROUND(C12-(C9+C10-C11),2)</x:f>
        <x:v>0</x:v>
      </x:c>
      <x:c r="D15" s="31">
        <x:f t="shared" si="3"/>
        <x:v>0</x:v>
      </x:c>
      <x:c r="E15" s="31">
        <x:f t="shared" si="3"/>
        <x:v>0</x:v>
      </x:c>
      <x:c r="F15" s="31">
        <x:f t="shared" si="3"/>
        <x:v>0</x:v>
      </x:c>
      <x:c r="G15" s="31">
        <x:f t="shared" si="3"/>
        <x:v>0</x:v>
      </x:c>
      <x:c r="H15" s="31">
        <x:f t="shared" si="3"/>
        <x:v>0</x:v>
      </x:c>
      <x:c r="I15" s="31">
        <x:f t="shared" si="3"/>
        <x:v>0</x:v>
      </x:c>
      <x:c r="J15" s="31">
        <x:f t="shared" si="3"/>
        <x:v>0</x:v>
      </x:c>
      <x:c r="K15" s="31">
        <x:f t="shared" si="3"/>
        <x:v>0</x:v>
      </x:c>
      <x:c r="L15" s="31">
        <x:f t="shared" si="3"/>
        <x:v>0</x:v>
      </x:c>
      <x:c r="M15" s="31">
        <x:f t="shared" si="3"/>
        <x:v>0</x:v>
      </x:c>
      <x:c r="N15" s="31">
        <x:f t="shared" si="3"/>
        <x:v>0</x:v>
      </x:c>
    </x:row>
    <x:row r="16" ht="13.5" customHeight="1">
      <x:c r="B16" s="19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</x:row>
    <x:row r="17" ht="13.5" customHeight="1">
      <x:c r="B17" s="66" t="s">
        <x:v>396</x:v>
      </x:c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8"/>
    </x:row>
    <x:row r="18" ht="13.5" customHeight="1">
      <x:c r="B18" s="19" t="s">
        <x:v>222</x:v>
      </x:c>
      <x:c r="C18" s="21" t="n">
        <x:f>OpEx!C$35-'FA &amp; D&amp;A'!C$17</x:f>
        <x:v>-662.7896198222222</x:v>
      </x:c>
      <x:c r="D18" s="21" t="n">
        <x:f>OpEx!D$35-'FA &amp; D&amp;A'!D$17</x:f>
        <x:v>-668.6486434009337</x:v>
      </x:c>
      <x:c r="E18" s="21" t="n">
        <x:f>OpEx!E$35-'FA &amp; D&amp;A'!E$17</x:f>
        <x:v>-672.1467410939225</x:v>
      </x:c>
      <x:c r="F18" s="21" t="n">
        <x:f>OpEx!F$35-'FA &amp; D&amp;A'!F$17</x:f>
        <x:v>-672.3717466173302</x:v>
      </x:c>
      <x:c r="G18" s="21" t="n">
        <x:f>OpEx!G$35-'FA &amp; D&amp;A'!G$17</x:f>
        <x:v>-668.8696042586467</x:v>
      </x:c>
      <x:c r="H18" s="21" t="n">
        <x:f>OpEx!H$35-'FA &amp; D&amp;A'!H$17</x:f>
        <x:v>-661.6612758527107</x:v>
      </x:c>
      <x:c r="I18" s="21" t="n">
        <x:f>OpEx!I$35-'FA &amp; D&amp;A'!I$17</x:f>
        <x:v>-650.7675969383776</x:v>
      </x:c>
      <x:c r="J18" s="21" t="n">
        <x:f>OpEx!J$35-'FA &amp; D&amp;A'!J$17</x:f>
        <x:v>-636.2092775160977</x:v>
      </x:c>
      <x:c r="K18" s="21" t="n">
        <x:f>OpEx!K$35-'FA &amp; D&amp;A'!K$17</x:f>
        <x:v>-618.0069028009518</x:v>
      </x:c>
      <x:c r="L18" s="21" t="n">
        <x:f>OpEx!L$35-'FA &amp; D&amp;A'!L$17</x:f>
        <x:v>-596.1809339711655</x:v>
      </x:c>
      <x:c r="M18" s="21" t="n">
        <x:f>OpEx!M$35-'FA &amp; D&amp;A'!M$17</x:f>
        <x:v>-570.7517089121328</x:v>
      </x:c>
      <x:c r="N18" s="21" t="n">
        <x:f>OpEx!N$35-'FA &amp; D&amp;A'!N$17</x:f>
        <x:v>-541.7394429559766</x:v>
      </x:c>
    </x:row>
    <x:row r="19" ht="13.5" customHeight="1">
      <x:c r="B19" s="19" t="s">
        <x:v>224</x:v>
      </x:c>
      <x:c r="C19" s="31" t="n">
        <x:f t="shared" ref="C19:N19" si="4">C18-C14</x:f>
        <x:v>-672.6229531555556</x:v>
      </x:c>
      <x:c r="D19" s="31">
        <x:f t="shared" si="4"/>
        <x:v>-678.14864340093368</x:v>
      </x:c>
      <x:c r="E19" s="31">
        <x:f t="shared" si="4"/>
        <x:v>-681.31340776058914</x:v>
      </x:c>
      <x:c r="F19" s="31">
        <x:f t="shared" si="4"/>
        <x:v>-681.20507995066362</x:v>
      </x:c>
      <x:c r="G19" s="31">
        <x:f t="shared" si="4"/>
        <x:v>-677.36960425864675</x:v>
      </x:c>
      <x:c r="H19" s="31">
        <x:f t="shared" si="4"/>
        <x:v>-669.8279425193773</x:v>
      </x:c>
      <x:c r="I19" s="31">
        <x:f t="shared" si="4"/>
        <x:v>-658.60093027171092</x:v>
      </x:c>
      <x:c r="J19" s="31">
        <x:f t="shared" si="4"/>
        <x:v>-643.7092775160977</x:v>
      </x:c>
      <x:c r="K19" s="31">
        <x:f t="shared" si="4"/>
        <x:v>-625.17356946761845</x:v>
      </x:c>
      <x:c r="L19" s="31">
        <x:f t="shared" si="4"/>
        <x:v>-603.01426730449884</x:v>
      </x:c>
      <x:c r="M19" s="31">
        <x:f t="shared" si="4"/>
        <x:v>-577.25170891213281</x:v>
      </x:c>
      <x:c r="N19" s="31">
        <x:f t="shared" si="4"/>
        <x:v>-547.90610962264327</x:v>
      </x:c>
    </x:row>
    <x:row r="20" ht="13.5" customHeight="1">
      <x:c r="B20" s="19" t="s">
        <x:v>150</x:v>
      </x:c>
      <x:c r="C20" s="29" t="n">
        <x:f>Assumptions!$F$48</x:f>
        <x:v>0.21</x:v>
      </x:c>
      <x:c r="D20" s="29" t="n">
        <x:f>Assumptions!$F$48</x:f>
        <x:v>0.21</x:v>
      </x:c>
      <x:c r="E20" s="29" t="n">
        <x:f>Assumptions!$F$48</x:f>
        <x:v>0.21</x:v>
      </x:c>
      <x:c r="F20" s="29" t="n">
        <x:f>Assumptions!$F$48</x:f>
        <x:v>0.21</x:v>
      </x:c>
      <x:c r="G20" s="29" t="n">
        <x:f>Assumptions!$F$48</x:f>
        <x:v>0.21</x:v>
      </x:c>
      <x:c r="H20" s="29" t="n">
        <x:f>Assumptions!$F$48</x:f>
        <x:v>0.21</x:v>
      </x:c>
      <x:c r="I20" s="29" t="n">
        <x:f>Assumptions!$F$48</x:f>
        <x:v>0.21</x:v>
      </x:c>
      <x:c r="J20" s="29" t="n">
        <x:f>Assumptions!$F$48</x:f>
        <x:v>0.21</x:v>
      </x:c>
      <x:c r="K20" s="29" t="n">
        <x:f>Assumptions!$F$48</x:f>
        <x:v>0.21</x:v>
      </x:c>
      <x:c r="L20" s="29" t="n">
        <x:f>Assumptions!$F$48</x:f>
        <x:v>0.21</x:v>
      </x:c>
      <x:c r="M20" s="29" t="n">
        <x:f>Assumptions!$F$48</x:f>
        <x:v>0.21</x:v>
      </x:c>
      <x:c r="N20" s="29" t="n">
        <x:f>Assumptions!$F$48</x:f>
        <x:v>0.21</x:v>
      </x:c>
    </x:row>
    <x:row r="21" ht="13.5" customHeight="1">
      <x:c r="B21" s="19" t="s">
        <x:v>225</x:v>
      </x:c>
      <x:c r="C21" s="31" t="n">
        <x:f t="shared" ref="C21:N21" si="5">MAX(0,C19*C20)</x:f>
        <x:v>0</x:v>
      </x:c>
      <x:c r="D21" s="31">
        <x:f t="shared" si="5"/>
        <x:v>0</x:v>
      </x:c>
      <x:c r="E21" s="31">
        <x:f t="shared" si="5"/>
        <x:v>0</x:v>
      </x:c>
      <x:c r="F21" s="31">
        <x:f t="shared" si="5"/>
        <x:v>0</x:v>
      </x:c>
      <x:c r="G21" s="31">
        <x:f t="shared" si="5"/>
        <x:v>0</x:v>
      </x:c>
      <x:c r="H21" s="31">
        <x:f t="shared" si="5"/>
        <x:v>0</x:v>
      </x:c>
      <x:c r="I21" s="31">
        <x:f t="shared" si="5"/>
        <x:v>0</x:v>
      </x:c>
      <x:c r="J21" s="31">
        <x:f t="shared" si="5"/>
        <x:v>0</x:v>
      </x:c>
      <x:c r="K21" s="31">
        <x:f t="shared" si="5"/>
        <x:v>0</x:v>
      </x:c>
      <x:c r="L21" s="31">
        <x:f t="shared" si="5"/>
        <x:v>0</x:v>
      </x:c>
      <x:c r="M21" s="31">
        <x:f t="shared" si="5"/>
        <x:v>0</x:v>
      </x:c>
      <x:c r="N21" s="31">
        <x:f t="shared" si="5"/>
        <x:v>0</x:v>
      </x:c>
    </x:row>
    <x:row r="22" ht="13.5" customHeight="1">
      <x:c r="B22" s="19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</x:row>
    <x:row r="23" ht="13.5" customHeight="1">
      <x:c r="B23" s="66" t="s">
        <x:v>397</x:v>
      </x:c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8"/>
    </x:row>
    <x:row r="24" ht="13.5" customHeight="1">
      <x:c r="B24" s="19" t="s">
        <x:v>398</x:v>
      </x:c>
      <x:c r="C24" s="21" t="n">
        <x:f>Assumptions!$F$60</x:f>
        <x:v>2000</x:v>
      </x:c>
      <x:c r="D24" s="31" t="n">
        <x:f t="shared" ref="D24:N24" si="6">C26</x:f>
        <x:v>2000</x:v>
      </x:c>
      <x:c r="E24" s="31">
        <x:f t="shared" si="6"/>
        <x:v>2000</x:v>
      </x:c>
      <x:c r="F24" s="31">
        <x:f t="shared" si="6"/>
        <x:v>2000</x:v>
      </x:c>
      <x:c r="G24" s="31">
        <x:f t="shared" si="6"/>
        <x:v>2000</x:v>
      </x:c>
      <x:c r="H24" s="31">
        <x:f t="shared" si="6"/>
        <x:v>2000</x:v>
      </x:c>
      <x:c r="I24" s="31">
        <x:f t="shared" si="6"/>
        <x:v>2000</x:v>
      </x:c>
      <x:c r="J24" s="31">
        <x:f t="shared" si="6"/>
        <x:v>2000</x:v>
      </x:c>
      <x:c r="K24" s="31">
        <x:f t="shared" si="6"/>
        <x:v>2000</x:v>
      </x:c>
      <x:c r="L24" s="31">
        <x:f t="shared" si="6"/>
        <x:v>2000</x:v>
      </x:c>
      <x:c r="M24" s="31">
        <x:f t="shared" si="6"/>
        <x:v>2000</x:v>
      </x:c>
      <x:c r="N24" s="31">
        <x:f t="shared" si="6"/>
        <x:v>2000</x:v>
      </x:c>
    </x:row>
    <x:row r="25" ht="13.5" customHeight="1">
      <x:c r="B25" s="19" t="s">
        <x:v>266</x:v>
      </x:c>
      <x:c r="C25" s="21" t="n">
        <x:f>Assumptions!$F$49</x:f>
        <x:v>0</x:v>
      </x:c>
      <x:c r="D25" s="21" t="n">
        <x:f>Assumptions!$F$49</x:f>
        <x:v>0</x:v>
      </x:c>
      <x:c r="E25" s="21" t="n">
        <x:f>Assumptions!$F$49</x:f>
        <x:v>0</x:v>
      </x:c>
      <x:c r="F25" s="21" t="n">
        <x:f>Assumptions!$F$49</x:f>
        <x:v>0</x:v>
      </x:c>
      <x:c r="G25" s="21" t="n">
        <x:f>Assumptions!$F$49</x:f>
        <x:v>0</x:v>
      </x:c>
      <x:c r="H25" s="21" t="n">
        <x:f>Assumptions!$F$49</x:f>
        <x:v>0</x:v>
      </x:c>
      <x:c r="I25" s="21" t="n">
        <x:f>Assumptions!$F$49</x:f>
        <x:v>0</x:v>
      </x:c>
      <x:c r="J25" s="21" t="n">
        <x:f>Assumptions!$F$49</x:f>
        <x:v>0</x:v>
      </x:c>
      <x:c r="K25" s="21" t="n">
        <x:f>Assumptions!$F$49</x:f>
        <x:v>0</x:v>
      </x:c>
      <x:c r="L25" s="21" t="n">
        <x:f>Assumptions!$F$49</x:f>
        <x:v>0</x:v>
      </x:c>
      <x:c r="M25" s="21" t="n">
        <x:f>Assumptions!$F$49</x:f>
        <x:v>0</x:v>
      </x:c>
      <x:c r="N25" s="21" t="n">
        <x:f>Assumptions!$F$49</x:f>
        <x:v>0</x:v>
      </x:c>
    </x:row>
    <x:row r="26" ht="13.5" customHeight="1">
      <x:c r="B26" s="19" t="s">
        <x:v>399</x:v>
      </x:c>
      <x:c r="C26" s="31" t="n">
        <x:f t="shared" ref="C26:N26" si="7">C24+C25</x:f>
        <x:v>2000</x:v>
      </x:c>
      <x:c r="D26" s="31">
        <x:f t="shared" si="7"/>
        <x:v>2000</x:v>
      </x:c>
      <x:c r="E26" s="31">
        <x:f t="shared" si="7"/>
        <x:v>2000</x:v>
      </x:c>
      <x:c r="F26" s="31">
        <x:f t="shared" si="7"/>
        <x:v>2000</x:v>
      </x:c>
      <x:c r="G26" s="31">
        <x:f t="shared" si="7"/>
        <x:v>2000</x:v>
      </x:c>
      <x:c r="H26" s="31">
        <x:f t="shared" si="7"/>
        <x:v>2000</x:v>
      </x:c>
      <x:c r="I26" s="31">
        <x:f t="shared" si="7"/>
        <x:v>2000</x:v>
      </x:c>
      <x:c r="J26" s="31">
        <x:f t="shared" si="7"/>
        <x:v>2000</x:v>
      </x:c>
      <x:c r="K26" s="31">
        <x:f t="shared" si="7"/>
        <x:v>2000</x:v>
      </x:c>
      <x:c r="L26" s="31">
        <x:f t="shared" si="7"/>
        <x:v>2000</x:v>
      </x:c>
      <x:c r="M26" s="31">
        <x:f t="shared" si="7"/>
        <x:v>2000</x:v>
      </x:c>
      <x:c r="N26" s="31">
        <x:f t="shared" si="7"/>
        <x:v>2000</x:v>
      </x:c>
    </x:row>
    <x:row r="27" ht="13.5" customHeight="1">
      <x:c r="B27" s="19" t="s">
        <x:v>400</x:v>
      </x:c>
      <x:c r="C27" s="31" t="n">
        <x:f t="shared" ref="C27:N27" si="8">ROUND(C26-(C24+C25),2)</x:f>
        <x:v>0</x:v>
      </x:c>
      <x:c r="D27" s="31">
        <x:f t="shared" si="8"/>
        <x:v>0</x:v>
      </x:c>
      <x:c r="E27" s="31">
        <x:f t="shared" si="8"/>
        <x:v>0</x:v>
      </x:c>
      <x:c r="F27" s="31">
        <x:f t="shared" si="8"/>
        <x:v>0</x:v>
      </x:c>
      <x:c r="G27" s="31">
        <x:f t="shared" si="8"/>
        <x:v>0</x:v>
      </x:c>
      <x:c r="H27" s="31">
        <x:f t="shared" si="8"/>
        <x:v>0</x:v>
      </x:c>
      <x:c r="I27" s="31">
        <x:f t="shared" si="8"/>
        <x:v>0</x:v>
      </x:c>
      <x:c r="J27" s="31">
        <x:f t="shared" si="8"/>
        <x:v>0</x:v>
      </x:c>
      <x:c r="K27" s="31">
        <x:f t="shared" si="8"/>
        <x:v>0</x:v>
      </x:c>
      <x:c r="L27" s="31">
        <x:f t="shared" si="8"/>
        <x:v>0</x:v>
      </x:c>
      <x:c r="M27" s="31">
        <x:f t="shared" si="8"/>
        <x:v>0</x:v>
      </x:c>
      <x:c r="N27" s="31">
        <x:f t="shared" si="8"/>
        <x:v>0</x:v>
      </x:c>
    </x:row>
    <x:row r="28" ht="13.5" customHeight="1">
      <x:c r="B28" s="19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 ht="13.5" customHeight="1">
      <x:c r="B29" s="66" t="s">
        <x:v>401</x:v>
      </x:c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8"/>
    </x:row>
    <x:row r="30" ht="13.5" customHeight="1">
      <x:c r="B30" s="19" t="s">
        <x:v>402</x:v>
      </x:c>
      <x:c r="C30" s="21" t="n">
        <x:f>Assumptions!$F$61</x:f>
        <x:v>2270</x:v>
      </x:c>
      <x:c r="D30" s="31" t="n">
        <x:f t="shared" ref="D30:N30" si="9">C34</x:f>
        <x:v>1597.3770468444445</x:v>
      </x:c>
      <x:c r="E30" s="31">
        <x:f t="shared" si="9"/>
        <x:v>919.22840344351073</x:v>
      </x:c>
      <x:c r="F30" s="31">
        <x:f t="shared" si="9"/>
        <x:v>237.91499568292159</x:v>
      </x:c>
      <x:c r="G30" s="31">
        <x:f t="shared" si="9"/>
        <x:v>-443.29008426774203</x:v>
      </x:c>
      <x:c r="H30" s="31">
        <x:f t="shared" si="9"/>
        <x:v>-1120.6596885263889</x:v>
      </x:c>
      <x:c r="I30" s="31">
        <x:f t="shared" si="9"/>
        <x:v>-1790.4876310457662</x:v>
      </x:c>
      <x:c r="J30" s="31">
        <x:f t="shared" si="9"/>
        <x:v>-2449.0885613174769</x:v>
      </x:c>
      <x:c r="K30" s="31">
        <x:f t="shared" si="9"/>
        <x:v>-3092.7978388335746</x:v>
      </x:c>
      <x:c r="L30" s="31">
        <x:f t="shared" si="9"/>
        <x:v>-3717.9714083011932</x:v>
      </x:c>
      <x:c r="M30" s="31">
        <x:f t="shared" si="9"/>
        <x:v>-4320.9856756056915</x:v>
      </x:c>
      <x:c r="N30" s="31">
        <x:f t="shared" si="9"/>
        <x:v>-4898.2373845178245</x:v>
      </x:c>
    </x:row>
    <x:row r="31" ht="13.5" customHeight="1">
      <x:c r="B31" s="19" t="s">
        <x:v>226</x:v>
      </x:c>
      <x:c r="C31" s="21" t="n">
        <x:f>IS!C$29</x:f>
        <x:v>-672.6229531555556</x:v>
      </x:c>
      <x:c r="D31" s="21" t="n">
        <x:f>IS!D$29</x:f>
        <x:v>-678.1486434009338</x:v>
      </x:c>
      <x:c r="E31" s="21" t="n">
        <x:f>IS!E$29</x:f>
        <x:v>-681.3134077605891</x:v>
      </x:c>
      <x:c r="F31" s="21" t="n">
        <x:f>IS!F$29</x:f>
        <x:v>-681.2050799506636</x:v>
      </x:c>
      <x:c r="G31" s="21" t="n">
        <x:f>IS!G$29</x:f>
        <x:v>-677.3696042586469</x:v>
      </x:c>
      <x:c r="H31" s="21" t="n">
        <x:f>IS!H$29</x:f>
        <x:v>-669.8279425193772</x:v>
      </x:c>
      <x:c r="I31" s="21" t="n">
        <x:f>IS!I$29</x:f>
        <x:v>-658.6009302717109</x:v>
      </x:c>
      <x:c r="J31" s="21" t="n">
        <x:f>IS!J$29</x:f>
        <x:v>-643.7092775160976</x:v>
      </x:c>
      <x:c r="K31" s="21" t="n">
        <x:f>IS!K$29</x:f>
        <x:v>-625.1735694676183</x:v>
      </x:c>
      <x:c r="L31" s="21" t="n">
        <x:f>IS!L$29</x:f>
        <x:v>-603.0142673044987</x:v>
      </x:c>
      <x:c r="M31" s="21" t="n">
        <x:f>IS!M$29</x:f>
        <x:v>-577.2517089121328</x:v>
      </x:c>
      <x:c r="N31" s="21" t="n">
        <x:f>IS!N$29</x:f>
        <x:v>-547.9061096226433</x:v>
      </x:c>
    </x:row>
    <x:row r="32" ht="13.5" customHeight="1">
      <x:c r="B32" s="19" t="s">
        <x:v>267</x:v>
      </x:c>
      <x:c r="C32" s="21" t="n">
        <x:f>Assumptions!$F$50</x:f>
        <x:v>0</x:v>
      </x:c>
      <x:c r="D32" s="21" t="n">
        <x:f>Assumptions!$F$50</x:f>
        <x:v>0</x:v>
      </x:c>
      <x:c r="E32" s="21" t="n">
        <x:f>Assumptions!$F$50</x:f>
        <x:v>0</x:v>
      </x:c>
      <x:c r="F32" s="21" t="n">
        <x:f>Assumptions!$F$50</x:f>
        <x:v>0</x:v>
      </x:c>
      <x:c r="G32" s="21" t="n">
        <x:f>Assumptions!$F$50</x:f>
        <x:v>0</x:v>
      </x:c>
      <x:c r="H32" s="21" t="n">
        <x:f>Assumptions!$F$50</x:f>
        <x:v>0</x:v>
      </x:c>
      <x:c r="I32" s="21" t="n">
        <x:f>Assumptions!$F$50</x:f>
        <x:v>0</x:v>
      </x:c>
      <x:c r="J32" s="21" t="n">
        <x:f>Assumptions!$F$50</x:f>
        <x:v>0</x:v>
      </x:c>
      <x:c r="K32" s="21" t="n">
        <x:f>Assumptions!$F$50</x:f>
        <x:v>0</x:v>
      </x:c>
      <x:c r="L32" s="21" t="n">
        <x:f>Assumptions!$F$50</x:f>
        <x:v>0</x:v>
      </x:c>
      <x:c r="M32" s="21" t="n">
        <x:f>Assumptions!$F$50</x:f>
        <x:v>0</x:v>
      </x:c>
      <x:c r="N32" s="21" t="n">
        <x:f>Assumptions!$F$50</x:f>
        <x:v>0</x:v>
      </x:c>
    </x:row>
    <x:row r="33" ht="13.5" customHeight="1">
      <x:c r="B33" s="19" t="s">
        <x:v>403</x:v>
      </x:c>
      <x:c r="C33" s="35">
        <x:v>0</x:v>
      </x:c>
      <x:c r="D33" s="35">
        <x:v>0</x:v>
      </x:c>
      <x:c r="E33" s="35">
        <x:v>0</x:v>
      </x:c>
      <x:c r="F33" s="35">
        <x:v>0</x:v>
      </x:c>
      <x:c r="G33" s="35">
        <x:v>0</x:v>
      </x:c>
      <x:c r="H33" s="35">
        <x:v>0</x:v>
      </x:c>
      <x:c r="I33" s="35">
        <x:v>0</x:v>
      </x:c>
      <x:c r="J33" s="35">
        <x:v>0</x:v>
      </x:c>
      <x:c r="K33" s="35">
        <x:v>0</x:v>
      </x:c>
      <x:c r="L33" s="35">
        <x:v>0</x:v>
      </x:c>
      <x:c r="M33" s="35">
        <x:v>0</x:v>
      </x:c>
      <x:c r="N33" s="35">
        <x:v>0</x:v>
      </x:c>
    </x:row>
    <x:row r="34" ht="13.5" customHeight="1">
      <x:c r="B34" s="22" t="s">
        <x:v>404</x:v>
      </x:c>
      <x:c r="C34" s="23" t="n">
        <x:f t="shared" ref="C34:N34" si="10">C30+C31-C32+C33</x:f>
        <x:v>1597.3770468444445</x:v>
      </x:c>
      <x:c r="D34" s="23">
        <x:f t="shared" si="10"/>
        <x:v>919.22840344351073</x:v>
      </x:c>
      <x:c r="E34" s="23">
        <x:f t="shared" si="10"/>
        <x:v>237.91499568292159</x:v>
      </x:c>
      <x:c r="F34" s="23">
        <x:f t="shared" si="10"/>
        <x:v>-443.29008426774203</x:v>
      </x:c>
      <x:c r="G34" s="23">
        <x:f t="shared" si="10"/>
        <x:v>-1120.6596885263889</x:v>
      </x:c>
      <x:c r="H34" s="23">
        <x:f t="shared" si="10"/>
        <x:v>-1790.4876310457662</x:v>
      </x:c>
      <x:c r="I34" s="23">
        <x:f t="shared" si="10"/>
        <x:v>-2449.0885613174769</x:v>
      </x:c>
      <x:c r="J34" s="23">
        <x:f t="shared" si="10"/>
        <x:v>-3092.7978388335746</x:v>
      </x:c>
      <x:c r="K34" s="23">
        <x:f t="shared" si="10"/>
        <x:v>-3717.9714083011932</x:v>
      </x:c>
      <x:c r="L34" s="23">
        <x:f t="shared" si="10"/>
        <x:v>-4320.9856756056915</x:v>
      </x:c>
      <x:c r="M34" s="23">
        <x:f t="shared" si="10"/>
        <x:v>-4898.2373845178245</x:v>
      </x:c>
      <x:c r="N34" s="23">
        <x:f t="shared" si="10"/>
        <x:v>-5446.1434941404677</x:v>
      </x:c>
    </x:row>
    <x:row r="35" ht="13.5" customHeight="1">
      <x:c r="B35" s="19" t="s">
        <x:v>405</x:v>
      </x:c>
      <x:c r="C35" s="31" t="n">
        <x:f t="shared" ref="C35:N35" si="11">ROUND(C34-(C30+C31-C32+C33),2)</x:f>
        <x:v>0</x:v>
      </x:c>
      <x:c r="D35" s="31">
        <x:f t="shared" si="11"/>
        <x:v>0</x:v>
      </x:c>
      <x:c r="E35" s="31">
        <x:f t="shared" si="11"/>
        <x:v>0</x:v>
      </x:c>
      <x:c r="F35" s="31">
        <x:f t="shared" si="11"/>
        <x:v>0</x:v>
      </x:c>
      <x:c r="G35" s="31">
        <x:f t="shared" si="11"/>
        <x:v>0</x:v>
      </x:c>
      <x:c r="H35" s="31">
        <x:f t="shared" si="11"/>
        <x:v>0</x:v>
      </x:c>
      <x:c r="I35" s="31">
        <x:f t="shared" si="11"/>
        <x:v>0</x:v>
      </x:c>
      <x:c r="J35" s="31">
        <x:f t="shared" si="11"/>
        <x:v>0</x:v>
      </x:c>
      <x:c r="K35" s="31">
        <x:f t="shared" si="11"/>
        <x:v>0</x:v>
      </x:c>
      <x:c r="L35" s="31">
        <x:f t="shared" si="11"/>
        <x:v>0</x:v>
      </x:c>
      <x:c r="M35" s="31">
        <x:f t="shared" si="11"/>
        <x:v>0</x:v>
      </x:c>
      <x:c r="N35" s="31">
        <x:f t="shared" si="11"/>
        <x:v>0</x:v>
      </x:c>
    </x:row>
    <x:row r="36" ht="13.5" customHeight="1">
      <x:c r="B36" s="19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</x:row>
    <x:row r="37" ht="13.5" customHeight="1">
      <x:c r="B37" s="19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</x:row>
    <x:row r="38" ht="13.5" customHeight="1">
      <x:c r="B38" s="19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 ht="13.5" customHeight="1">
      <x:c r="B39" s="19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 ht="13.5" customHeight="1">
      <x:c r="B40" s="19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  <x:row r="41" ht="13.5" customHeight="1">
      <x:c r="B41" s="19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</x:row>
    <x:row r="42" ht="13.5" customHeight="1">
      <x:c r="B42" s="19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</x:row>
    <x:row r="43" ht="13.5" customHeight="1">
      <x:c r="B43" s="19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</x:row>
    <x:row r="44" ht="13.5" customHeight="1">
      <x:c r="B44" s="19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</x:row>
    <x:row r="45" ht="13.5" customHeight="1"/>
    <x:row r="46" ht="13.5" customHeight="1"/>
    <x:row r="47" ht="13.5" customHeight="1"/>
    <x:row r="48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29:N29"/>
    <x:mergeCell ref="B2:N3"/>
    <x:mergeCell ref="B4:N4"/>
    <x:mergeCell ref="B8:N8"/>
    <x:mergeCell ref="B17:N17"/>
    <x:mergeCell ref="B23:N2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8" hidden="0" customWidth="1"/>
  </x:cols>
  <x:sheetData>
    <x:row r="1">
      <x:c r="A1" s="113" t="str">
        <x:v>Parrot / Low-Altitude Economy Project Forecast</x:v>
      </x:c>
      <x:c r="B1" s="113"/>
      <x:c r="C1" s="113"/>
      <x:c r="D1" s="113"/>
      <x:c r="E1" s="113"/>
      <x:c r="F1" s="113"/>
    </x:row>
    <x:row r="2">
      <x:c r="A2" s="114" t="str">
        <x:v>Consolidated Parrot 2024 actuals with project scenario forecast; EUR millions unless stated</x:v>
      </x:c>
      <x:c r="B2" s="114"/>
      <x:c r="C2" s="114"/>
      <x:c r="D2" s="114"/>
      <x:c r="E2" s="114"/>
      <x:c r="F2" s="114"/>
    </x:row>
    <x:row r="3">
      <x:c r="A3" s="114"/>
      <x:c r="B3" s="114"/>
      <x:c r="C3" s="114"/>
      <x:c r="D3" s="114"/>
      <x:c r="E3" s="114"/>
      <x:c r="F3" s="114"/>
    </x:row>
    <x:row r="4">
      <x:c r="A4" s="104" t="str">
        <x:v>Metric</x:v>
      </x:c>
      <x:c r="B4" s="104" t="str">
        <x:v>2024A</x:v>
      </x:c>
      <x:c r="C4" s="104" t="str">
        <x:v>2025E</x:v>
      </x:c>
      <x:c r="D4" s="104" t="str">
        <x:v>2026E</x:v>
      </x:c>
      <x:c r="E4" s="104" t="str">
        <x:v>2027E</x:v>
      </x:c>
      <x:c r="F4" s="104" t="str">
        <x:v>Units / source note</x:v>
      </x:c>
    </x:row>
    <x:row r="5">
      <x:c r="A5" s="115" t="str">
        <x:v>INCOME STATEMENT</x:v>
      </x:c>
      <x:c r="B5" s="115"/>
      <x:c r="C5" s="115"/>
      <x:c r="D5" s="115"/>
      <x:c r="E5" s="115"/>
      <x:c r="F5" s="115"/>
    </x:row>
    <x:row r="6">
      <x:c r="A6" s="116" t="str">
        <x:v>Revenue</x:v>
      </x:c>
      <x:c r="B6" s="117" t="n">
        <x:v>78.054</x:v>
      </x:c>
      <x:c r="C6" s="117" t="n">
        <x:f>B6*(1+C39)</x:f>
        <x:v>93.6648</x:v>
      </x:c>
      <x:c r="D6" s="117" t="n">
        <x:f>C6*(1+D39)</x:f>
        <x:v>107.71452</x:v>
      </x:c>
      <x:c r="E6" s="117" t="n">
        <x:f>D6*(1+E39)</x:f>
        <x:v>120.6402624</x:v>
      </x:c>
      <x:c r="F6" s="116" t="str">
        <x:v>EUR m; Parrot consolidated 2024</x:v>
      </x:c>
    </x:row>
    <x:row r="7">
      <x:c r="A7" s="116" t="str">
        <x:v>Revenue growth</x:v>
      </x:c>
      <x:c r="B7" s="118"/>
      <x:c r="C7" s="118" t="n">
        <x:f>C6/B6-1</x:f>
        <x:v>0.19999999999999996</x:v>
      </x:c>
      <x:c r="D7" s="118" t="n">
        <x:f>D6/C6-1</x:f>
        <x:v>0.1499999999999999</x:v>
      </x:c>
      <x:c r="E7" s="118" t="n">
        <x:f>E6/D6-1</x:f>
        <x:v>0.1200000000000001</x:v>
      </x:c>
      <x:c r="F7" s="116" t="str">
        <x:v>Derived</x:v>
      </x:c>
    </x:row>
    <x:row r="8">
      <x:c r="A8" s="116" t="str">
        <x:v>Cost of sales</x:v>
      </x:c>
      <x:c r="B8" s="117" t="n">
        <x:v>-20.184</x:v>
      </x:c>
      <x:c r="C8" s="117" t="n">
        <x:f>-C6*(1-C40)</x:f>
        <x:v>-24.352848</x:v>
      </x:c>
      <x:c r="D8" s="117" t="n">
        <x:f>-D6*(1-D40)</x:f>
        <x:v>-27.4672026</x:v>
      </x:c>
      <x:c r="E8" s="117" t="n">
        <x:f>-E6*(1-E40)</x:f>
        <x:v>-30.1600656</x:v>
      </x:c>
      <x:c r="F8" s="116" t="str">
        <x:v>EUR m; cost of sales</x:v>
      </x:c>
    </x:row>
    <x:row r="9">
      <x:c r="A9" s="116" t="str">
        <x:v>Gross profit</x:v>
      </x:c>
      <x:c r="B9" s="117" t="n">
        <x:v>57.869</x:v>
      </x:c>
      <x:c r="C9" s="117" t="n">
        <x:f>C6+C8</x:f>
        <x:v>69.31195199999999</x:v>
      </x:c>
      <x:c r="D9" s="117" t="n">
        <x:f>D6+D8</x:f>
        <x:v>80.24731739999999</x:v>
      </x:c>
      <x:c r="E9" s="117" t="n">
        <x:f>E6+E8</x:f>
        <x:v>90.4801968</x:v>
      </x:c>
      <x:c r="F9" s="116" t="str">
        <x:v>EUR m; reported gross profit</x:v>
      </x:c>
    </x:row>
    <x:row r="10">
      <x:c r="A10" s="116" t="str">
        <x:v>Gross margin</x:v>
      </x:c>
      <x:c r="B10" s="118" t="n">
        <x:v>0.741</x:v>
      </x:c>
      <x:c r="C10" s="118" t="n">
        <x:f>C9/C6</x:f>
        <x:v>0.7399999999999999</x:v>
      </x:c>
      <x:c r="D10" s="118" t="n">
        <x:f>D9/D6</x:f>
        <x:v>0.7449999999999999</x:v>
      </x:c>
      <x:c r="E10" s="118" t="n">
        <x:f>E9/E6</x:f>
        <x:v>0.75</x:v>
      </x:c>
      <x:c r="F10" s="116" t="str">
        <x:v>Reported gross margin</x:v>
      </x:c>
    </x:row>
    <x:row r="11">
      <x:c r="A11" s="116" t="str">
        <x:v>Research &amp; development</x:v>
      </x:c>
      <x:c r="B11" s="117" t="n">
        <x:v>-39.674</x:v>
      </x:c>
      <x:c r="C11" s="117" t="n">
        <x:f>-C6*C41</x:f>
        <x:v>-41.212512</x:v>
      </x:c>
      <x:c r="D11" s="117" t="n">
        <x:f>-D6*D41</x:f>
        <x:v>-45.240098399999994</x:v>
      </x:c>
      <x:c r="E11" s="117" t="n">
        <x:f>-E6*E41</x:f>
        <x:v>-48.25610496</x:v>
      </x:c>
      <x:c r="F11" s="116" t="str">
        <x:v>EUR m; reported R&amp;D</x:v>
      </x:c>
    </x:row>
    <x:row r="12">
      <x:c r="A12" s="116" t="str">
        <x:v>Sales &amp; marketing</x:v>
      </x:c>
      <x:c r="B12" s="117" t="n">
        <x:v>-10.39</x:v>
      </x:c>
      <x:c r="C12" s="117" t="n">
        <x:f>-C6*C42</x:f>
        <x:v>-12.176424</x:v>
      </x:c>
      <x:c r="D12" s="117" t="n">
        <x:f>-D6*D42</x:f>
        <x:v>-13.464315</x:v>
      </x:c>
      <x:c r="E12" s="117" t="n">
        <x:f>-E6*E42</x:f>
        <x:v>-14.476831487999998</x:v>
      </x:c>
      <x:c r="F12" s="116" t="str">
        <x:v>EUR m; reported S&amp;M</x:v>
      </x:c>
    </x:row>
    <x:row r="13">
      <x:c r="A13" s="116" t="str">
        <x:v>Other operating expenses</x:v>
      </x:c>
      <x:c r="B13" s="117" t="n">
        <x:v>-15.099</x:v>
      </x:c>
      <x:c r="C13" s="117" t="n">
        <x:f>-C6*C43</x:f>
        <x:v>-18.732960000000002</x:v>
      </x:c>
      <x:c r="D13" s="117" t="n">
        <x:f>-D6*D43</x:f>
        <x:v>-20.4657588</x:v>
      </x:c>
      <x:c r="E13" s="117" t="n">
        <x:f>-E6*E43</x:f>
        <x:v>-21.715247232</x:v>
      </x:c>
      <x:c r="F13" s="116" t="str">
        <x:v>EUR m; includes net other operating items to reconcile reported operating income</x:v>
      </x:c>
    </x:row>
    <x:row r="14">
      <x:c r="A14" s="116" t="str">
        <x:v>Operating income</x:v>
      </x:c>
      <x:c r="B14" s="117" t="n">
        <x:v>-7.294</x:v>
      </x:c>
      <x:c r="C14" s="117" t="n">
        <x:f>SUM(C9,C11:C13)</x:f>
        <x:v>-2.8099440000000158</x:v>
      </x:c>
      <x:c r="D14" s="117" t="n">
        <x:f>SUM(D9,D11:D13)</x:f>
        <x:v>1.0771451999999897</x:v>
      </x:c>
      <x:c r="E14" s="117" t="n">
        <x:f>SUM(E9,E11:E13)</x:f>
        <x:v>6.032013120000002</x:v>
      </x:c>
      <x:c r="F14" s="116" t="str">
        <x:v>EUR m; reported operating result</x:v>
      </x:c>
    </x:row>
    <x:row r="15">
      <x:c r="A15" s="116" t="str">
        <x:v>Operating margin</x:v>
      </x:c>
      <x:c r="B15" s="118" t="n">
        <x:v>-0.0934</x:v>
      </x:c>
      <x:c r="C15" s="118" t="n">
        <x:f>C14/C6</x:f>
        <x:v>-0.03000000000000017</x:v>
      </x:c>
      <x:c r="D15" s="118" t="n">
        <x:f>D14/D6</x:f>
        <x:v>0.009999999999999905</x:v>
      </x:c>
      <x:c r="E15" s="118" t="n">
        <x:f>E14/E6</x:f>
        <x:v>0.05000000000000002</x:v>
      </x:c>
      <x:c r="F15" s="116" t="str">
        <x:v>Derived</x:v>
      </x:c>
    </x:row>
    <x:row r="16">
      <x:c r="A16" s="116" t="str">
        <x:v>Net interest / other finance</x:v>
      </x:c>
      <x:c r="B16" s="117" t="n">
        <x:v>-1.191</x:v>
      </x:c>
      <x:c r="C16" s="117" t="n">
        <x:f>-C6*C44</x:f>
        <x:v>-0.936648</x:v>
      </x:c>
      <x:c r="D16" s="117" t="n">
        <x:f>-D6*D44</x:f>
        <x:v>-0.9694306799999999</x:v>
      </x:c>
      <x:c r="E16" s="117" t="n">
        <x:f>-E6*E44</x:f>
        <x:v>-1.0857623615999998</x:v>
      </x:c>
      <x:c r="F16" s="116" t="str">
        <x:v>EUR m; finance/equity-investment/tax bridge</x:v>
      </x:c>
    </x:row>
    <x:row r="17">
      <x:c r="A17" s="116" t="str">
        <x:v>Taxes</x:v>
      </x:c>
      <x:c r="B17" s="117" t="n">
        <x:v>-0.912</x:v>
      </x:c>
      <x:c r="C17" s="117" t="n">
        <x:f>-MAX(0,C14+C16)*C45</x:f>
        <x:v>0</x:v>
      </x:c>
      <x:c r="D17" s="117" t="n">
        <x:f>-MAX(0,D14+D16)*D45</x:f>
        <x:v>-0.02262004919999786</x:v>
      </x:c>
      <x:c r="E17" s="117" t="n">
        <x:f>-MAX(0,E14+E16)*E45</x:f>
        <x:v>-1.0387126592640004</x:v>
      </x:c>
      <x:c r="F17" s="116" t="str">
        <x:v>EUR m; reported tax</x:v>
      </x:c>
    </x:row>
    <x:row r="18">
      <x:c r="A18" s="116" t="str">
        <x:v>Net income</x:v>
      </x:c>
      <x:c r="B18" s="117" t="n">
        <x:v>-9.397</x:v>
      </x:c>
      <x:c r="C18" s="117" t="n">
        <x:f>SUM(C14,C16:C17)</x:f>
        <x:v>-3.7465920000000157</x:v>
      </x:c>
      <x:c r="D18" s="117" t="n">
        <x:f>SUM(D14,D16:D17)</x:f>
        <x:v>0.085094470799992</x:v>
      </x:c>
      <x:c r="E18" s="117" t="n">
        <x:f>SUM(E14,E16:E17)</x:f>
        <x:v>3.907538099136002</x:v>
      </x:c>
      <x:c r="F18" s="116" t="str">
        <x:v>EUR m; reported net income</x:v>
      </x:c>
    </x:row>
    <x:row r="19">
      <x:c r="A19" s="115" t="str">
        <x:v>CASH FLOW</x:v>
      </x:c>
      <x:c r="B19" s="119"/>
      <x:c r="C19" s="119"/>
      <x:c r="D19" s="119"/>
      <x:c r="E19" s="119"/>
      <x:c r="F19" s="115"/>
    </x:row>
    <x:row r="20">
      <x:c r="A20" s="116" t="str">
        <x:v>Depreciation &amp; amortization</x:v>
      </x:c>
      <x:c r="B20" s="117" t="n">
        <x:v>1.877</x:v>
      </x:c>
      <x:c r="C20" s="117"/>
      <x:c r="D20" s="117"/>
      <x:c r="E20" s="117"/>
      <x:c r="F20" s="116" t="str">
        <x:v>EUR m; depreciation and impairment</x:v>
      </x:c>
    </x:row>
    <x:row r="21">
      <x:c r="A21" s="116" t="str">
        <x:v>Change in working capital (cash contribution)</x:v>
      </x:c>
      <x:c r="B21" s="117" t="n">
        <x:v>12.107</x:v>
      </x:c>
      <x:c r="C21" s="117" t="n">
        <x:f>C6*C47</x:f>
        <x:v>1.873296</x:v>
      </x:c>
      <x:c r="D21" s="117" t="n">
        <x:f>D6*D47</x:f>
        <x:v>2.1542904</x:v>
      </x:c>
      <x:c r="E21" s="117" t="n">
        <x:f>E6*E47</x:f>
        <x:v>2.412805248</x:v>
      </x:c>
      <x:c r="F21" s="116" t="str">
        <x:v>EUR m; positive cash contribution from BFR</x:v>
      </x:c>
    </x:row>
    <x:row r="22">
      <x:c r="A22" s="116" t="str">
        <x:v>Other non-cash / CFO items</x:v>
      </x:c>
      <x:c r="B22" s="117" t="n">
        <x:v>2.142</x:v>
      </x:c>
      <x:c r="C22" s="117" t="n">
        <x:f>C6*C48</x:f>
        <x:v>0.936648</x:v>
      </x:c>
      <x:c r="D22" s="117" t="n">
        <x:f>D6*D48</x:f>
        <x:v>1.0771452</x:v>
      </x:c>
      <x:c r="E22" s="117" t="n">
        <x:f>E6*E48</x:f>
        <x:v>1.206402624</x:v>
      </x:c>
      <x:c r="F22" s="116" t="str">
        <x:v>EUR m; residual reported CFO bridge</x:v>
      </x:c>
    </x:row>
    <x:row r="23">
      <x:c r="A23" s="116" t="str">
        <x:v>Operating cash flow</x:v>
      </x:c>
      <x:c r="B23" s="117" t="n">
        <x:v>6.729</x:v>
      </x:c>
      <x:c r="C23" s="117" t="n">
        <x:f>SUM(C18,C20:C22)</x:f>
        <x:v>-0.9366480000000155</x:v>
      </x:c>
      <x:c r="D23" s="117" t="n">
        <x:f>SUM(D18,D20:D22)</x:f>
        <x:v>3.316530070799992</x:v>
      </x:c>
      <x:c r="E23" s="117" t="n">
        <x:f>SUM(E18,E20:E22)</x:f>
        <x:v>7.526745971136002</x:v>
      </x:c>
      <x:c r="F23" s="116" t="str">
        <x:v>EUR m; reported CFO</x:v>
      </x:c>
    </x:row>
    <x:row r="24">
      <x:c r="A24" s="116" t="str">
        <x:v>Capital expenditure</x:v>
      </x:c>
      <x:c r="B24" s="117" t="n">
        <x:v>-2.249</x:v>
      </x:c>
      <x:c r="C24" s="117" t="n">
        <x:f>-C6*C49</x:f>
        <x:v>-2.8099439999999998</x:v>
      </x:c>
      <x:c r="D24" s="117" t="n">
        <x:f>-D6*D49</x:f>
        <x:v>-3.2314355999999997</x:v>
      </x:c>
      <x:c r="E24" s="117" t="n">
        <x:f>-E6*E49</x:f>
        <x:v>-3.6192078719999996</x:v>
      </x:c>
      <x:c r="F24" s="116" t="str">
        <x:v>EUR m; reported acquisitions of PPE/intangibles</x:v>
      </x:c>
    </x:row>
    <x:row r="25">
      <x:c r="A25" s="116" t="str">
        <x:v>Financing cash flow</x:v>
      </x:c>
      <x:c r="B25" s="117" t="n">
        <x:v>-1.084</x:v>
      </x:c>
      <x:c r="C25" s="117" t="n">
        <x:f>C50</x:f>
        <x:v>-1</x:v>
      </x:c>
      <x:c r="D25" s="117" t="n">
        <x:f>D50</x:f>
        <x:v>-1</x:v>
      </x:c>
      <x:c r="E25" s="117" t="n">
        <x:f>E50</x:f>
        <x:v>-1</x:v>
      </x:c>
      <x:c r="F25" s="116" t="str">
        <x:v>EUR m; reported financing cash flow</x:v>
      </x:c>
    </x:row>
    <x:row r="26">
      <x:c r="A26" s="116" t="str">
        <x:v>FX / other cash movement</x:v>
      </x:c>
      <x:c r="B26" s="117" t="n">
        <x:v>0.298</x:v>
      </x:c>
      <x:c r="C26" s="117" t="n">
        <x:f>C51</x:f>
        <x:v>0</x:v>
      </x:c>
      <x:c r="D26" s="117" t="n">
        <x:f>D51</x:f>
        <x:v>0</x:v>
      </x:c>
      <x:c r="E26" s="117" t="n">
        <x:f>E51</x:f>
        <x:v>0</x:v>
      </x:c>
      <x:c r="F26" s="116" t="str">
        <x:v>EUR m; reported FX effect</x:v>
      </x:c>
    </x:row>
    <x:row r="27">
      <x:c r="A27" s="116" t="str">
        <x:v>Free cash flow</x:v>
      </x:c>
      <x:c r="B27" s="117" t="n">
        <x:v>4.48</x:v>
      </x:c>
      <x:c r="C27" s="117" t="n">
        <x:f>C23+C24</x:f>
        <x:v>-3.7465920000000152</x:v>
      </x:c>
      <x:c r="D27" s="117" t="n">
        <x:f>D23+D24</x:f>
        <x:v>0.0850944707999921</x:v>
      </x:c>
      <x:c r="E27" s="117" t="n">
        <x:f>E23+E24</x:f>
        <x:v>3.9075380991360023</x:v>
      </x:c>
      <x:c r="F27" s="116" t="str">
        <x:v>EUR m; CFO + capex</x:v>
      </x:c>
    </x:row>
    <x:row r="28">
      <x:c r="A28" s="116" t="str">
        <x:v>Net change in cash</x:v>
      </x:c>
      <x:c r="B28" s="117" t="n">
        <x:v>5.244</x:v>
      </x:c>
      <x:c r="C28" s="117" t="n">
        <x:f>SUM(C23:C26)</x:f>
        <x:v>-4.746592000000016</x:v>
      </x:c>
      <x:c r="D28" s="117" t="n">
        <x:f>SUM(D23:D26)</x:f>
        <x:v>-0.9149055292000079</x:v>
      </x:c>
      <x:c r="E28" s="117" t="n">
        <x:f>SUM(E23:E26)</x:f>
        <x:v>2.9075380991360023</x:v>
      </x:c>
      <x:c r="F28" s="116" t="str">
        <x:v>EUR m; CFO + capex + financing + FX</x:v>
      </x:c>
    </x:row>
    <x:row r="29">
      <x:c r="A29" s="116" t="str">
        <x:v>Ending cash</x:v>
      </x:c>
      <x:c r="B29" s="117" t="n">
        <x:v>33.604</x:v>
      </x:c>
      <x:c r="C29" s="117" t="n">
        <x:f>B29+C28</x:f>
        <x:v>28.857407999999985</x:v>
      </x:c>
      <x:c r="D29" s="117" t="n">
        <x:f>C29+D28</x:f>
        <x:v>27.942502470799976</x:v>
      </x:c>
      <x:c r="E29" s="117" t="n">
        <x:f>D29+E28</x:f>
        <x:v>30.850040569935977</x:v>
      </x:c>
      <x:c r="F29" s="116" t="str">
        <x:v>EUR m; reported closing cash</x:v>
      </x:c>
    </x:row>
    <x:row r="30">
      <x:c r="A30" s="115" t="str">
        <x:v>BALANCE SHEET BRIDGE</x:v>
      </x:c>
      <x:c r="B30" s="119"/>
      <x:c r="C30" s="119"/>
      <x:c r="D30" s="119"/>
      <x:c r="E30" s="119"/>
      <x:c r="F30" s="115"/>
    </x:row>
    <x:row r="31">
      <x:c r="A31" s="116" t="str">
        <x:v>Non-cash assets</x:v>
      </x:c>
      <x:c r="B31" s="117" t="n">
        <x:v>51.806</x:v>
      </x:c>
      <x:c r="C31" s="117" t="n">
        <x:f>B31-C24-C20-C21</x:f>
        <x:v>52.742647999999996</x:v>
      </x:c>
      <x:c r="D31" s="117" t="n">
        <x:f>C31-D24-D20-D21</x:f>
        <x:v>53.81979319999999</x:v>
      </x:c>
      <x:c r="E31" s="117" t="n">
        <x:f>D31-E24-E20-E21</x:f>
        <x:v>55.02619582399999</x:v>
      </x:c>
      <x:c r="F31" s="116" t="str">
        <x:v>EUR m; assets excluding cash</x:v>
      </x:c>
    </x:row>
    <x:row r="32">
      <x:c r="A32" s="116" t="str">
        <x:v>Financial and lease debt</x:v>
      </x:c>
      <x:c r="B32" s="117" t="n">
        <x:v>8.733</x:v>
      </x:c>
      <x:c r="C32" s="117" t="n">
        <x:f>B32+C25</x:f>
        <x:v>7.7330000000000005</x:v>
      </x:c>
      <x:c r="D32" s="117" t="n">
        <x:f>C32+D25</x:f>
        <x:v>6.7330000000000005</x:v>
      </x:c>
      <x:c r="E32" s="117" t="n">
        <x:f>D32+E25</x:f>
        <x:v>5.7330000000000005</x:v>
      </x:c>
      <x:c r="F32" s="116" t="str">
        <x:v>EUR m; debt + leases</x:v>
      </x:c>
    </x:row>
    <x:row r="33">
      <x:c r="A33" s="116" t="str">
        <x:v>Other liabilities</x:v>
      </x:c>
      <x:c r="B33" s="117" t="n">
        <x:v>26.932</x:v>
      </x:c>
      <x:c r="C33" s="117" t="n">
        <x:f>B33+C22+C26</x:f>
        <x:v>27.868648</x:v>
      </x:c>
      <x:c r="D33" s="117" t="n">
        <x:f>C33+D22+D26</x:f>
        <x:v>28.9457932</x:v>
      </x:c>
      <x:c r="E33" s="117" t="n">
        <x:f>D33+E22+E26</x:f>
        <x:v>30.152195824</x:v>
      </x:c>
      <x:c r="F33" s="116" t="str">
        <x:v>EUR m; residual operating liabilities</x:v>
      </x:c>
    </x:row>
    <x:row r="34">
      <x:c r="A34" s="116" t="str">
        <x:v>Equity</x:v>
      </x:c>
      <x:c r="B34" s="117" t="n">
        <x:v>49.745</x:v>
      </x:c>
      <x:c r="C34" s="117" t="n">
        <x:f>B34+C18</x:f>
        <x:v>45.99840799999998</x:v>
      </x:c>
      <x:c r="D34" s="117" t="n">
        <x:f>C34+D18</x:f>
        <x:v>46.08350247079998</x:v>
      </x:c>
      <x:c r="E34" s="117" t="n">
        <x:f>D34+E18</x:f>
        <x:v>49.99104056993598</x:v>
      </x:c>
      <x:c r="F34" s="116" t="str">
        <x:v>EUR m; reported equity</x:v>
      </x:c>
    </x:row>
    <x:row r="35">
      <x:c r="A35" s="116" t="str">
        <x:v>Total assets</x:v>
      </x:c>
      <x:c r="B35" s="117" t="n">
        <x:v>85.41</x:v>
      </x:c>
      <x:c r="C35" s="117" t="n">
        <x:f>C29+C31</x:f>
        <x:v>81.60005599999998</x:v>
      </x:c>
      <x:c r="D35" s="117" t="n">
        <x:f>D29+D31</x:f>
        <x:v>81.76229567079997</x:v>
      </x:c>
      <x:c r="E35" s="117" t="n">
        <x:f>E29+E31</x:f>
        <x:v>85.87623639393597</x:v>
      </x:c>
      <x:c r="F35" s="116" t="str">
        <x:v>EUR m; reported total assets</x:v>
      </x:c>
    </x:row>
    <x:row r="36">
      <x:c r="A36" s="116" t="str">
        <x:v>Total liabilities + equity</x:v>
      </x:c>
      <x:c r="B36" s="117" t="n">
        <x:v>85.41</x:v>
      </x:c>
      <x:c r="C36" s="117" t="n">
        <x:f>SUM(C32:C34)</x:f>
        <x:v>81.60005599999998</x:v>
      </x:c>
      <x:c r="D36" s="117" t="n">
        <x:f>SUM(D32:D34)</x:f>
        <x:v>81.76229567079997</x:v>
      </x:c>
      <x:c r="E36" s="117" t="n">
        <x:f>SUM(E32:E34)</x:f>
        <x:v>85.87623639393598</x:v>
      </x:c>
      <x:c r="F36" s="116" t="str">
        <x:v>EUR m; formula</x:v>
      </x:c>
    </x:row>
    <x:row r="37">
      <x:c r="A37" s="116" t="str">
        <x:v>Balance sheet check</x:v>
      </x:c>
      <x:c r="B37" s="117" t="n">
        <x:v>0</x:v>
      </x:c>
      <x:c r="C37" s="117" t="n">
        <x:f>C35-C36</x:f>
        <x:v>0</x:v>
      </x:c>
      <x:c r="D37" s="117" t="n">
        <x:f>D35-D36</x:f>
        <x:v>0</x:v>
      </x:c>
      <x:c r="E37" s="117" t="n">
        <x:f>E35-E36</x:f>
        <x:v>-1.4210854715202004e-14</x:v>
      </x:c>
      <x:c r="F37" s="116" t="str">
        <x:v>EUR m; must equal zero</x:v>
      </x:c>
    </x:row>
    <x:row r="38">
      <x:c r="A38" s="115" t="str">
        <x:v>FORECAST ASSUMPTIONS</x:v>
      </x:c>
      <x:c r="B38" s="119"/>
      <x:c r="C38" s="119"/>
      <x:c r="D38" s="119"/>
      <x:c r="E38" s="119"/>
      <x:c r="F38" s="115"/>
    </x:row>
    <x:row r="39">
      <x:c r="A39" s="116" t="str">
        <x:v>Revenue growth</x:v>
      </x:c>
      <x:c r="B39" s="116"/>
      <x:c r="C39" s="120" t="n">
        <x:v>0.2</x:v>
      </x:c>
      <x:c r="D39" s="120" t="n">
        <x:v>0.15</x:v>
      </x:c>
      <x:c r="E39" s="120" t="n">
        <x:v>0.12</x:v>
      </x:c>
      <x:c r="F39" s="116" t="str">
        <x:v>Project scenario input; editable</x:v>
      </x:c>
    </x:row>
    <x:row r="40">
      <x:c r="A40" s="116" t="str">
        <x:v>Gross margin</x:v>
      </x:c>
      <x:c r="B40" s="116"/>
      <x:c r="C40" s="120" t="n">
        <x:v>0.74</x:v>
      </x:c>
      <x:c r="D40" s="120" t="n">
        <x:v>0.745</x:v>
      </x:c>
      <x:c r="E40" s="120" t="n">
        <x:v>0.75</x:v>
      </x:c>
      <x:c r="F40" s="116" t="str">
        <x:v>Project scenario input; editable</x:v>
      </x:c>
    </x:row>
    <x:row r="41">
      <x:c r="A41" s="116" t="str">
        <x:v>R&amp;D % revenue</x:v>
      </x:c>
      <x:c r="B41" s="116"/>
      <x:c r="C41" s="120" t="n">
        <x:v>0.44</x:v>
      </x:c>
      <x:c r="D41" s="120" t="n">
        <x:v>0.42</x:v>
      </x:c>
      <x:c r="E41" s="120" t="n">
        <x:v>0.4</x:v>
      </x:c>
      <x:c r="F41" s="116" t="str">
        <x:v>Project scenario input; editable</x:v>
      </x:c>
    </x:row>
    <x:row r="42">
      <x:c r="A42" s="116" t="str">
        <x:v>Sales &amp; marketing % revenue</x:v>
      </x:c>
      <x:c r="B42" s="116"/>
      <x:c r="C42" s="120" t="n">
        <x:v>0.13</x:v>
      </x:c>
      <x:c r="D42" s="120" t="n">
        <x:v>0.125</x:v>
      </x:c>
      <x:c r="E42" s="120" t="n">
        <x:v>0.12</x:v>
      </x:c>
      <x:c r="F42" s="116" t="str">
        <x:v>Project scenario input; editable</x:v>
      </x:c>
    </x:row>
    <x:row r="43">
      <x:c r="A43" s="116" t="str">
        <x:v>Other operating expense % revenue</x:v>
      </x:c>
      <x:c r="B43" s="116"/>
      <x:c r="C43" s="120" t="n">
        <x:v>0.2</x:v>
      </x:c>
      <x:c r="D43" s="120" t="n">
        <x:v>0.19</x:v>
      </x:c>
      <x:c r="E43" s="120" t="n">
        <x:v>0.18</x:v>
      </x:c>
      <x:c r="F43" s="116" t="str">
        <x:v>Project scenario input; editable</x:v>
      </x:c>
    </x:row>
    <x:row r="44">
      <x:c r="A44" s="116" t="str">
        <x:v>Net interest % revenue</x:v>
      </x:c>
      <x:c r="B44" s="116"/>
      <x:c r="C44" s="120" t="n">
        <x:v>0.01</x:v>
      </x:c>
      <x:c r="D44" s="120" t="n">
        <x:v>0.009</x:v>
      </x:c>
      <x:c r="E44" s="120" t="n">
        <x:v>0.009</x:v>
      </x:c>
      <x:c r="F44" s="116" t="str">
        <x:v>Project scenario input; editable</x:v>
      </x:c>
    </x:row>
    <x:row r="45">
      <x:c r="A45" s="116" t="str">
        <x:v>Cash tax rate</x:v>
      </x:c>
      <x:c r="B45" s="116"/>
      <x:c r="C45" s="120" t="n">
        <x:v>0.21</x:v>
      </x:c>
      <x:c r="D45" s="120" t="n">
        <x:v>0.21</x:v>
      </x:c>
      <x:c r="E45" s="120" t="n">
        <x:v>0.21</x:v>
      </x:c>
      <x:c r="F45" s="116" t="str">
        <x:v>Project scenario input; editable</x:v>
      </x:c>
    </x:row>
    <x:row r="46">
      <x:c r="A46" s="116" t="str">
        <x:v>D&amp;A % revenue</x:v>
      </x:c>
      <x:c r="B46" s="116"/>
      <x:c r="C46" s="120" t="n">
        <x:v>0.024</x:v>
      </x:c>
      <x:c r="D46" s="120" t="n">
        <x:v>0.024</x:v>
      </x:c>
      <x:c r="E46" s="120" t="n">
        <x:v>0.024</x:v>
      </x:c>
      <x:c r="F46" s="116" t="str">
        <x:v>Project scenario input; editable</x:v>
      </x:c>
    </x:row>
    <x:row r="47">
      <x:c r="A47" s="116" t="str">
        <x:v>Change in NWC % revenue</x:v>
      </x:c>
      <x:c r="B47" s="116"/>
      <x:c r="C47" s="120" t="n">
        <x:v>0.02</x:v>
      </x:c>
      <x:c r="D47" s="120" t="n">
        <x:v>0.02</x:v>
      </x:c>
      <x:c r="E47" s="120" t="n">
        <x:v>0.02</x:v>
      </x:c>
      <x:c r="F47" s="116" t="str">
        <x:v>Project scenario input; editable</x:v>
      </x:c>
    </x:row>
    <x:row r="48">
      <x:c r="A48" s="116" t="str">
        <x:v>Other CFO % revenue</x:v>
      </x:c>
      <x:c r="B48" s="116"/>
      <x:c r="C48" s="120" t="n">
        <x:v>0.01</x:v>
      </x:c>
      <x:c r="D48" s="120" t="n">
        <x:v>0.01</x:v>
      </x:c>
      <x:c r="E48" s="120" t="n">
        <x:v>0.01</x:v>
      </x:c>
      <x:c r="F48" s="116" t="str">
        <x:v>Project scenario input; editable</x:v>
      </x:c>
    </x:row>
    <x:row r="49">
      <x:c r="A49" s="116" t="str">
        <x:v>Capex % revenue</x:v>
      </x:c>
      <x:c r="B49" s="116"/>
      <x:c r="C49" s="120" t="n">
        <x:v>0.03</x:v>
      </x:c>
      <x:c r="D49" s="120" t="n">
        <x:v>0.03</x:v>
      </x:c>
      <x:c r="E49" s="120" t="n">
        <x:v>0.03</x:v>
      </x:c>
      <x:c r="F49" s="116" t="str">
        <x:v>Project scenario input; editable</x:v>
      </x:c>
    </x:row>
    <x:row r="50">
      <x:c r="A50" s="116" t="str">
        <x:v>Financing cash flow</x:v>
      </x:c>
      <x:c r="B50" s="116"/>
      <x:c r="C50" s="121" t="n">
        <x:v>-1</x:v>
      </x:c>
      <x:c r="D50" s="121" t="n">
        <x:v>-1</x:v>
      </x:c>
      <x:c r="E50" s="121" t="n">
        <x:v>-1</x:v>
      </x:c>
      <x:c r="F50" s="116" t="str">
        <x:v>Project scenario input; editable</x:v>
      </x:c>
    </x:row>
    <x:row r="51">
      <x:c r="A51" s="116" t="str">
        <x:v>FX / other cash movement</x:v>
      </x:c>
      <x:c r="B51" s="116"/>
      <x:c r="C51" s="121" t="n">
        <x:v>0</x:v>
      </x:c>
      <x:c r="D51" s="121" t="n">
        <x:v>0</x:v>
      </x:c>
      <x:c r="E51" s="121" t="n">
        <x:v>0</x:v>
      </x:c>
      <x:c r="F51" s="116" t="str">
        <x:v>Project scenario input; editable</x:v>
      </x:c>
    </x:row>
    <x:row r="52">
      <x:c r="A52" s="103"/>
      <x:c r="B52" s="103"/>
      <x:c r="C52" s="103"/>
      <x:c r="D52" s="103"/>
      <x:c r="E52" s="103"/>
      <x:c r="F52" s="103"/>
    </x:row>
    <x:row r="53">
      <x:c r="A53" s="103"/>
      <x:c r="B53" s="103"/>
      <x:c r="C53" s="103"/>
      <x:c r="D53" s="103"/>
      <x:c r="E53" s="103"/>
      <x:c r="F53" s="103"/>
    </x:row>
  </x:sheetData>
  <x:mergeCells>
    <x:mergeCell ref="A1:F1"/>
    <x:mergeCell ref="A2:F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2" hidden="0" customWidth="1"/>
    <x:col min="4" max="4" width="52" hidden="0" customWidth="1"/>
    <x:col min="5" max="5" width="80" hidden="0" customWidth="1"/>
  </x:cols>
  <x:sheetData>
    <x:row r="1">
      <x:c r="A1" s="122" t="str">
        <x:v>Sources and Audit Notes</x:v>
      </x:c>
      <x:c r="B1" s="122"/>
      <x:c r="C1" s="122"/>
      <x:c r="D1" s="122"/>
      <x:c r="E1" s="122"/>
    </x:row>
    <x:row r="2">
      <x:c r="A2" s="123"/>
      <x:c r="B2" s="123"/>
      <x:c r="C2" s="123"/>
      <x:c r="D2" s="123"/>
      <x:c r="E2" s="123"/>
    </x:row>
    <x:row r="3">
      <x:c r="A3" s="96" t="str">
        <x:v>Source ID</x:v>
      </x:c>
      <x:c r="B3" s="96" t="str">
        <x:v>Company / dataset</x:v>
      </x:c>
      <x:c r="C3" s="96" t="str">
        <x:v>Period</x:v>
      </x:c>
      <x:c r="D3" s="96" t="str">
        <x:v>Metric use</x:v>
      </x:c>
      <x:c r="E3" s="96" t="str">
        <x:v>URL / local evidence</x:v>
      </x:c>
    </x:row>
    <x:row r="4">
      <x:c r="A4" s="124" t="str">
        <x:v>P01</x:v>
      </x:c>
      <x:c r="B4" s="124" t="str">
        <x:v>Parrot</x:v>
      </x:c>
      <x:c r="C4" s="124" t="str">
        <x:v>FY2024</x:v>
      </x:c>
      <x:c r="D4" s="124" t="str">
        <x:v>Consolidated income statement, balance sheet and cash flow</x:v>
      </x:c>
      <x:c r="E4" s="124" t="str">
        <x:v>https://www.parrot.com/assets/s3fs-public/media-public/PARROT_URD-2024_PDF.pdf</x:v>
      </x:c>
    </x:row>
    <x:row r="5">
      <x:c r="A5" s="124" t="str">
        <x:v>P02</x:v>
      </x:c>
      <x:c r="B5" s="124" t="str">
        <x:v>Parrot</x:v>
      </x:c>
      <x:c r="C5" s="124" t="str">
        <x:v>FY2024</x:v>
      </x:c>
      <x:c r="D5" s="124" t="str">
        <x:v>Official financial reports landing page</x:v>
      </x:c>
      <x:c r="E5" s="124" t="str">
        <x:v>https://www.parrot.com/fr/corporate/rapports-financiers-annuels-et-semestriels</x:v>
      </x:c>
    </x:row>
    <x:row r="6">
      <x:c r="A6" s="124" t="str">
        <x:v>M01</x:v>
      </x:c>
      <x:c r="B6" s="124" t="str">
        <x:v>China CAAC</x:v>
      </x:c>
      <x:c r="C6" s="124" t="str">
        <x:v>2024–2025</x:v>
      </x:c>
      <x:c r="D6" s="124" t="str">
        <x:v>Drone registrations, flight hours and low-altitude service stations</x:v>
      </x:c>
      <x:c r="E6" s="124" t="str">
        <x:v>https://www.caac.gov.cn/PHONE/XWZX/MHYW/202405/t20240531_224334.html</x:v>
      </x:c>
    </x:row>
    <x:row r="7">
      <x:c r="A7" s="124" t="str">
        <x:v>M02</x:v>
      </x:c>
      <x:c r="B7" s="124" t="str">
        <x:v>EHang</x:v>
      </x:c>
      <x:c r="C7" s="124" t="str">
        <x:v>FY2024</x:v>
      </x:c>
      <x:c r="D7" s="124" t="str">
        <x:v>Company disclosure used in market notes; local PDF retrieval timed out</x:v>
      </x:c>
      <x:c r="E7" s="124" t="str">
        <x:v>https://ir.ehang.com/static-files/821db5e5-327d-4b5f-8b48-540557afcb2b</x:v>
      </x:c>
    </x:row>
    <x:row r="8">
      <x:c r="A8" s="124" t="str">
        <x:v>L01</x:v>
      </x:c>
      <x:c r="B8" s="124" t="str">
        <x:v>Local evidence</x:v>
      </x:c>
      <x:c r="C8" s="124" t="str">
        <x:v>2026-09-20</x:v>
      </x:c>
      <x:c r="D8" s="124" t="str">
        <x:v>Local downloaded report files and pypdf page checks</x:v>
      </x:c>
      <x:c r="E8" s="124" t="str">
        <x:v>../原始报告/Parrot_PARRO_2024_URD.pdf; ../原始报告/中无人机_688297_2024_年度报告_镜像.pdf; ../原始报告/纵横股份_688070_2024_年度报告_镜像.pdf</x:v>
      </x:c>
    </x:row>
    <x:row r="9">
      <x:c r="A9" s="124"/>
      <x:c r="B9" s="124"/>
      <x:c r="C9" s="124"/>
      <x:c r="D9" s="124"/>
      <x:c r="E9" s="124"/>
    </x:row>
    <x:row r="10">
      <x:c r="A10" s="96" t="str">
        <x:v>Audit item</x:v>
      </x:c>
      <x:c r="B10" s="96" t="str">
        <x:v>Result</x:v>
      </x:c>
      <x:c r="C10" s="96" t="str">
        <x:v>Interpretation</x:v>
      </x:c>
      <x:c r="D10" s="96" t="str">
        <x:v>Action</x:v>
      </x:c>
      <x:c r="E10" s="96" t="str">
        <x:v>Owner</x:v>
      </x:c>
    </x:row>
    <x:row r="11">
      <x:c r="A11" s="124" t="str">
        <x:v>Historical currency</x:v>
      </x:c>
      <x:c r="B11" s="124" t="str">
        <x:v>EUR m</x:v>
      </x:c>
      <x:c r="C11" s="124" t="str">
        <x:v>Parrot consolidated statements use EUR thousands; workbook converts to EUR millions</x:v>
      </x:c>
      <x:c r="D11" s="124" t="str">
        <x:v>Keep units visible</x:v>
      </x:c>
      <x:c r="E11" s="124" t="str">
        <x:v>Project analyst</x:v>
      </x:c>
    </x:row>
    <x:row r="12">
      <x:c r="A12" s="124" t="str">
        <x:v>2024 cash-flow bridge</x:v>
      </x:c>
      <x:c r="B12" s="124" t="str">
        <x:v>6.729 OCF / -2.249 capex / -1.084 financing / 0.298 FX</x:v>
      </x:c>
      <x:c r="C12" s="124" t="str">
        <x:v>Matches the consolidated cash-flow statement</x:v>
      </x:c>
      <x:c r="D12" s="124" t="str">
        <x:v>Reconcile before forecast changes</x:v>
      </x:c>
      <x:c r="E12" s="124" t="str">
        <x:v>Project analyst</x:v>
      </x:c>
    </x:row>
    <x:row r="13">
      <x:c r="A13" s="124" t="str">
        <x:v>Forecast basis</x:v>
      </x:c>
      <x:c r="B13" s="124" t="str">
        <x:v>2025E–2027E scenario</x:v>
      </x:c>
      <x:c r="C13" s="124" t="str">
        <x:v>Not company guidance; editable assumptions are yellow</x:v>
      </x:c>
      <x:c r="D13" s="124" t="str">
        <x:v>Stress test growth, margins, NWC and capex</x:v>
      </x:c>
      <x:c r="E13" s="124" t="str">
        <x:v>Project analyst</x:v>
      </x:c>
    </x:row>
    <x:row r="14">
      <x:c r="A14" s="124" t="str">
        <x:v>Balance check</x:v>
      </x:c>
      <x:c r="B14" s="124" t="str">
        <x:v>Formula row 38</x:v>
      </x:c>
      <x:c r="C14" s="124" t="str">
        <x:v>Cash + non-cash assets equals debt + other liabilities + equity</x:v>
      </x:c>
      <x:c r="D14" s="124" t="str">
        <x:v>Must equal zero</x:v>
      </x:c>
      <x:c r="E14" s="124" t="str">
        <x:v>Project analyst</x:v>
      </x:c>
    </x:row>
    <x:row r="15">
      <x:c r="A15" s="124" t="str">
        <x:v>Coverage limitation</x:v>
      </x:c>
      <x:c r="B15" s="124" t="str">
        <x:v>Parrot complete; Chinese mirror files incomplete</x:v>
      </x:c>
      <x:c r="C15" s="124" t="str">
        <x:v>Chinese local PDFs are retained as mirror/summary evidence, not treated as full reports</x:v>
      </x:c>
      <x:c r="D15" s="124" t="str">
        <x:v>Replace with full official filings before investment use</x:v>
      </x:c>
      <x:c r="E15" s="124" t="str">
        <x:v>Project analyst</x:v>
      </x:c>
    </x:row>
  </x:sheetData>
  <x:mergeCells>
    <x:mergeCell ref="A1:E1"/>
  </x:mergeCells>
  <x:pageMargins left="0.7" right="0.7" top="0.75" bottom="0.75" header="0.3" footer="0.3"/>
</x:worksheet>
</file>